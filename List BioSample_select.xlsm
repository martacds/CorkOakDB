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ioData\Documents\Q.suber - BioSample\"/>
    </mc:Choice>
  </mc:AlternateContent>
  <bookViews>
    <workbookView xWindow="0" yWindow="0" windowWidth="20490" windowHeight="7770"/>
  </bookViews>
  <sheets>
    <sheet name="Sheet1" sheetId="1" r:id="rId1"/>
    <sheet name="Sheet3" sheetId="3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2" i="3" l="1"/>
  <c r="S73" i="3"/>
  <c r="S74" i="3"/>
  <c r="S75" i="3"/>
  <c r="S76" i="3"/>
  <c r="S71" i="3"/>
  <c r="S69" i="3"/>
  <c r="S68" i="3"/>
  <c r="S66" i="3"/>
  <c r="S65" i="3"/>
  <c r="S61" i="3"/>
  <c r="S62" i="3"/>
  <c r="S63" i="3"/>
  <c r="S60" i="3"/>
  <c r="S58" i="3"/>
  <c r="S57" i="3"/>
  <c r="S54" i="3"/>
  <c r="S55" i="3"/>
  <c r="S53" i="3"/>
  <c r="S51" i="3"/>
  <c r="S43" i="3"/>
  <c r="S42" i="3"/>
  <c r="S40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11" i="3"/>
  <c r="S4" i="3"/>
  <c r="S5" i="3"/>
  <c r="S6" i="3"/>
  <c r="S7" i="3"/>
  <c r="S8" i="3"/>
  <c r="S9" i="3"/>
  <c r="S3" i="3"/>
  <c r="S46" i="3"/>
  <c r="S47" i="3"/>
  <c r="S48" i="3"/>
  <c r="S45" i="3"/>
  <c r="M72" i="3" l="1"/>
  <c r="M73" i="3"/>
  <c r="M74" i="3"/>
  <c r="M75" i="3"/>
  <c r="M76" i="3"/>
  <c r="M71" i="3"/>
  <c r="J72" i="3"/>
  <c r="J73" i="3"/>
  <c r="J74" i="3"/>
  <c r="J75" i="3"/>
  <c r="J76" i="3"/>
  <c r="J71" i="3"/>
  <c r="M69" i="3"/>
  <c r="M66" i="3"/>
  <c r="M61" i="3"/>
  <c r="M62" i="3"/>
  <c r="M63" i="3"/>
  <c r="M58" i="3"/>
  <c r="M54" i="3"/>
  <c r="M55" i="3"/>
  <c r="J69" i="3"/>
  <c r="J66" i="3"/>
  <c r="J61" i="3"/>
  <c r="J62" i="3"/>
  <c r="J63" i="3"/>
  <c r="J58" i="3"/>
  <c r="J54" i="3"/>
  <c r="J55" i="3"/>
  <c r="G69" i="3"/>
  <c r="G66" i="3"/>
  <c r="G61" i="3"/>
  <c r="G62" i="3"/>
  <c r="G63" i="3"/>
  <c r="G58" i="3"/>
  <c r="G54" i="3"/>
  <c r="G55" i="3"/>
  <c r="M68" i="3"/>
  <c r="J68" i="3"/>
  <c r="G68" i="3"/>
  <c r="M65" i="3"/>
  <c r="J65" i="3"/>
  <c r="G65" i="3"/>
  <c r="M60" i="3"/>
  <c r="J60" i="3"/>
  <c r="G60" i="3"/>
  <c r="M57" i="3"/>
  <c r="J57" i="3"/>
  <c r="G57" i="3"/>
  <c r="M53" i="3"/>
  <c r="J53" i="3"/>
  <c r="M51" i="3"/>
  <c r="J51" i="3"/>
  <c r="M42" i="3"/>
  <c r="J42" i="3"/>
  <c r="J43" i="3"/>
  <c r="M40" i="3"/>
  <c r="J40" i="3"/>
  <c r="G53" i="3"/>
  <c r="G51" i="3"/>
  <c r="G43" i="3"/>
  <c r="G42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M11" i="3"/>
  <c r="J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11" i="3"/>
  <c r="M9" i="3"/>
  <c r="M7" i="3"/>
  <c r="M6" i="3"/>
  <c r="M5" i="3"/>
  <c r="M4" i="3"/>
  <c r="M3" i="3"/>
  <c r="M8" i="3"/>
  <c r="J9" i="3"/>
  <c r="J7" i="3"/>
  <c r="J6" i="3"/>
  <c r="J5" i="3"/>
  <c r="J4" i="3"/>
  <c r="J3" i="3"/>
  <c r="J8" i="3"/>
  <c r="G9" i="3"/>
  <c r="G7" i="3"/>
  <c r="G6" i="3"/>
  <c r="G5" i="3"/>
  <c r="G4" i="3"/>
  <c r="G3" i="3"/>
  <c r="G8" i="3"/>
</calcChain>
</file>

<file path=xl/sharedStrings.xml><?xml version="1.0" encoding="utf-8"?>
<sst xmlns="http://schemas.openxmlformats.org/spreadsheetml/2006/main" count="762" uniqueCount="366">
  <si>
    <t>BioSample</t>
  </si>
  <si>
    <t>SRA</t>
  </si>
  <si>
    <t>Description</t>
  </si>
  <si>
    <t>Tissue</t>
  </si>
  <si>
    <t>Developmental Stage</t>
  </si>
  <si>
    <t>Alias</t>
  </si>
  <si>
    <t>BioProject</t>
  </si>
  <si>
    <t>PRJEB6178</t>
  </si>
  <si>
    <t>SAMEA2482147</t>
  </si>
  <si>
    <t>ERS445605</t>
  </si>
  <si>
    <t>Pool of cork oak acorns from developmental stage S1 to S8</t>
  </si>
  <si>
    <t>Fruit</t>
  </si>
  <si>
    <t>S1 to S8</t>
  </si>
  <si>
    <t>FR</t>
  </si>
  <si>
    <t>SAMEA2482148</t>
  </si>
  <si>
    <t>ERS445606</t>
  </si>
  <si>
    <t>Pool of embryos extracted from cork oak acorns in developmental stages S1 to S8</t>
  </si>
  <si>
    <t>Embryos</t>
  </si>
  <si>
    <t>"</t>
  </si>
  <si>
    <t>EM</t>
  </si>
  <si>
    <t>S8</t>
  </si>
  <si>
    <t>ERS445604</t>
  </si>
  <si>
    <t>SAMEA2482146</t>
  </si>
  <si>
    <t>Cork oak acorns at developmental stage S8</t>
  </si>
  <si>
    <t>S5</t>
  </si>
  <si>
    <t>SAMEA2482145</t>
  </si>
  <si>
    <t>ERS445603</t>
  </si>
  <si>
    <t>Cork oak acorns at developmental stage S5</t>
  </si>
  <si>
    <t>SAMEA2482144</t>
  </si>
  <si>
    <t>ERS445602</t>
  </si>
  <si>
    <t xml:space="preserve"> </t>
  </si>
  <si>
    <t>Cork oak acorns at developmental stages S3 and S4</t>
  </si>
  <si>
    <t>S3 and S4</t>
  </si>
  <si>
    <t>S3S4</t>
  </si>
  <si>
    <t>SAMEA2482143</t>
  </si>
  <si>
    <t>ERS445601</t>
  </si>
  <si>
    <t>Cork oak acorns at developmental stage S2</t>
  </si>
  <si>
    <t>S2</t>
  </si>
  <si>
    <t>SAMEA2482142</t>
  </si>
  <si>
    <t>ERS445600</t>
  </si>
  <si>
    <t>Cork oak acorns at developmental stage S1</t>
  </si>
  <si>
    <t>S1</t>
  </si>
  <si>
    <t>PRJEB3237</t>
  </si>
  <si>
    <t>SAMEA2024620</t>
  </si>
  <si>
    <t>ERS168247</t>
  </si>
  <si>
    <t>L-4</t>
  </si>
  <si>
    <t>SAMEA2024619</t>
  </si>
  <si>
    <t>ERS168246</t>
  </si>
  <si>
    <t>L-3</t>
  </si>
  <si>
    <t>SAMEA2024618</t>
  </si>
  <si>
    <t>ERS168245</t>
  </si>
  <si>
    <t xml:space="preserve">  </t>
  </si>
  <si>
    <t>L-2</t>
  </si>
  <si>
    <t>SAMEA2024752</t>
  </si>
  <si>
    <t>ERS168265</t>
  </si>
  <si>
    <t>L-1</t>
  </si>
  <si>
    <t>SAMEA2024751</t>
  </si>
  <si>
    <t>ERS168264</t>
  </si>
  <si>
    <t>L-21</t>
  </si>
  <si>
    <t>SAMEA2024750</t>
  </si>
  <si>
    <t>ERS168263</t>
  </si>
  <si>
    <t>L-20</t>
  </si>
  <si>
    <t>SAMEA2024634</t>
  </si>
  <si>
    <t>ERS168262</t>
  </si>
  <si>
    <t>L-19</t>
  </si>
  <si>
    <t>Leaves (from 8 locations for polymorphism detection)</t>
  </si>
  <si>
    <t>Leaves</t>
  </si>
  <si>
    <t>SAMEA2024633</t>
  </si>
  <si>
    <t>ERS168261</t>
  </si>
  <si>
    <t>Abiotic stress: drought, salt and oxidative stresses (roots and shoots)</t>
  </si>
  <si>
    <t>L-18</t>
  </si>
  <si>
    <t>SAMEA1963654</t>
  </si>
  <si>
    <t>ERS168260</t>
  </si>
  <si>
    <t>Bud sprouting (bud phases 3 and 4)</t>
  </si>
  <si>
    <t>Bud</t>
  </si>
  <si>
    <t>Bud phases 3 and 4</t>
  </si>
  <si>
    <t>L-17</t>
  </si>
  <si>
    <t>SAMEA2024632</t>
  </si>
  <si>
    <t>ERS168259</t>
  </si>
  <si>
    <t>Bud sprouting (bud phases 1 and 2)</t>
  </si>
  <si>
    <t>Bud phases 1 and 2</t>
  </si>
  <si>
    <t>L-16 , Bud sproutin (phases 1 and 2)</t>
  </si>
  <si>
    <t>SAMEA2024631</t>
  </si>
  <si>
    <t>ERS168258</t>
  </si>
  <si>
    <t>Annual stems</t>
  </si>
  <si>
    <t>L-15</t>
  </si>
  <si>
    <t>SAMEA2024630</t>
  </si>
  <si>
    <t>ERS168257</t>
  </si>
  <si>
    <t>L-14</t>
  </si>
  <si>
    <t>SAMEA2024629</t>
  </si>
  <si>
    <t>ERS168256</t>
  </si>
  <si>
    <t>L-13 , Mycorrhizal symbiosis (roots)</t>
  </si>
  <si>
    <t>Roots</t>
  </si>
  <si>
    <t>Mycorrhizal symbiosis (roots)</t>
  </si>
  <si>
    <t>SAMEA2024628</t>
  </si>
  <si>
    <t>ERS168255</t>
  </si>
  <si>
    <t>Biotic stress: roots (thin white roots from 18 month old plants) infected by Phytophtora cinnamomi</t>
  </si>
  <si>
    <t>18 month old plants</t>
  </si>
  <si>
    <t>L-12 , Biotic stress (roots)</t>
  </si>
  <si>
    <t>SAMEA2024627</t>
  </si>
  <si>
    <t>ERS168254</t>
  </si>
  <si>
    <t>Biotic stress: roots (germinated acorns) infected by Phytophtora cinnamomi</t>
  </si>
  <si>
    <t>Germinated acorns</t>
  </si>
  <si>
    <t>L-11 , Biotic stress (acorns)</t>
  </si>
  <si>
    <t>SAMEA2024626</t>
  </si>
  <si>
    <t>ERS168253</t>
  </si>
  <si>
    <t>Whole fruits at 7 developmental stages</t>
  </si>
  <si>
    <t>7 stages</t>
  </si>
  <si>
    <t>L-10</t>
  </si>
  <si>
    <t>SAMEA2024625</t>
  </si>
  <si>
    <t>ERS168252</t>
  </si>
  <si>
    <t>Embryos from fruits at 4 developmental stages</t>
  </si>
  <si>
    <t>4 stages</t>
  </si>
  <si>
    <t>L-9</t>
  </si>
  <si>
    <t>SAMEA2024624</t>
  </si>
  <si>
    <t>ERS168251</t>
  </si>
  <si>
    <t>Male flowers</t>
  </si>
  <si>
    <t>Flowers</t>
  </si>
  <si>
    <t>L-8</t>
  </si>
  <si>
    <t>SAMEA2024623</t>
  </si>
  <si>
    <t>ERS168250</t>
  </si>
  <si>
    <t>Female flowers</t>
  </si>
  <si>
    <t>L-7</t>
  </si>
  <si>
    <t>SAMEA2024622</t>
  </si>
  <si>
    <t>ERS168249</t>
  </si>
  <si>
    <t>L-6</t>
  </si>
  <si>
    <t>SAMEA2024621</t>
  </si>
  <si>
    <t>ERS168248</t>
  </si>
  <si>
    <t>Abiotic Stress: heat (leaves)</t>
  </si>
  <si>
    <t>L-5</t>
  </si>
  <si>
    <t>Illumina</t>
  </si>
  <si>
    <t>PRJNA392919</t>
  </si>
  <si>
    <t>SAMN07312269</t>
  </si>
  <si>
    <t>SRS2349719</t>
  </si>
  <si>
    <t>Phellem</t>
  </si>
  <si>
    <t>Xylem</t>
  </si>
  <si>
    <t>HL8</t>
  </si>
  <si>
    <t>HL8 tree (120-150y)</t>
  </si>
  <si>
    <t>Montargil; This individual was chosen based on a microsatellite study performed on trees with good cork quality in order to choose the one with the least heterozygosity rate</t>
  </si>
  <si>
    <t>Innerbark</t>
  </si>
  <si>
    <t>Pollen</t>
  </si>
  <si>
    <t>PRJNA318475</t>
  </si>
  <si>
    <t>SAMN04854206</t>
  </si>
  <si>
    <t>SRS1396886</t>
  </si>
  <si>
    <t>15-20y field-grown trees; Spain</t>
  </si>
  <si>
    <t>15-20y trees</t>
  </si>
  <si>
    <t>Quercus_RL6</t>
  </si>
  <si>
    <t>PRJNA379225</t>
  </si>
  <si>
    <t>SAMN06603602</t>
  </si>
  <si>
    <t>SRS2049704</t>
  </si>
  <si>
    <t>Later_stages</t>
  </si>
  <si>
    <t>Portugal; Bud sprouting development: red bud and open bud</t>
  </si>
  <si>
    <t>SAMN06603601</t>
  </si>
  <si>
    <t>SRS2049705</t>
  </si>
  <si>
    <t>Portugal; Bud sprouting development: dormant bud and bus swollen phases</t>
  </si>
  <si>
    <t>PRJNA347903</t>
  </si>
  <si>
    <t>SAMN05898492</t>
  </si>
  <si>
    <t>SRS1739228</t>
  </si>
  <si>
    <t>Mature cotyledonary stage</t>
  </si>
  <si>
    <t>Embryo</t>
  </si>
  <si>
    <t>EMB4</t>
  </si>
  <si>
    <t>Portugal, Embryo mature cotyledonary stage</t>
  </si>
  <si>
    <t>SAMN05898491</t>
  </si>
  <si>
    <t>SRS1739227</t>
  </si>
  <si>
    <t>Immature cotyledonary stage</t>
  </si>
  <si>
    <t>EMB3</t>
  </si>
  <si>
    <t>Portugal, Embryo immature cotyledonary stage</t>
  </si>
  <si>
    <t>SAMN05898490</t>
  </si>
  <si>
    <t>SRS1739226</t>
  </si>
  <si>
    <t>Heart/torpedo stage</t>
  </si>
  <si>
    <t>EMB2</t>
  </si>
  <si>
    <t>Portugal, Embryo heart/torpedo stage</t>
  </si>
  <si>
    <t>SAMN05898489</t>
  </si>
  <si>
    <t>SRS1739225</t>
  </si>
  <si>
    <t>Globular stage</t>
  </si>
  <si>
    <t>EMB1</t>
  </si>
  <si>
    <t>Portugal, Embryo globular stage</t>
  </si>
  <si>
    <t>PRJNA309826</t>
  </si>
  <si>
    <t>SAMN04440762</t>
  </si>
  <si>
    <t>SRS1262104</t>
  </si>
  <si>
    <t>badcorkLM</t>
  </si>
  <si>
    <t>Phellogen</t>
  </si>
  <si>
    <t>Young stems, 1y branches</t>
  </si>
  <si>
    <t>Portugal, Comparison of expression of phellogen genes in good and bad quality cork</t>
  </si>
  <si>
    <t>SAMN04440763</t>
  </si>
  <si>
    <t>goodcorkLM</t>
  </si>
  <si>
    <t>PRJNA275997</t>
  </si>
  <si>
    <t>SAMN03360497</t>
  </si>
  <si>
    <t>SRS851887</t>
  </si>
  <si>
    <t>2mo</t>
  </si>
  <si>
    <t>Root transcriptome under medium drought conditions</t>
  </si>
  <si>
    <t>D50</t>
  </si>
  <si>
    <t>SAMN03360498</t>
  </si>
  <si>
    <t>SRS851883</t>
  </si>
  <si>
    <t>Root transcriptome under severe drought conditions</t>
  </si>
  <si>
    <t>D25/10</t>
  </si>
  <si>
    <t>SAMN03360444</t>
  </si>
  <si>
    <t>SRS851885</t>
  </si>
  <si>
    <t>Root transcriptome under well watered conditions</t>
  </si>
  <si>
    <t>D100/90</t>
  </si>
  <si>
    <t>PRJNA256026</t>
  </si>
  <si>
    <t>SAMN02935451</t>
  </si>
  <si>
    <t>SRS666753</t>
  </si>
  <si>
    <t>SAMN02935533</t>
  </si>
  <si>
    <t>SRS716795</t>
  </si>
  <si>
    <t>Portugal</t>
  </si>
  <si>
    <t>PRJNA277884</t>
  </si>
  <si>
    <t>SAMN03398613</t>
  </si>
  <si>
    <t>SRS872382</t>
  </si>
  <si>
    <t>16 months</t>
  </si>
  <si>
    <t>Portugal, Four plants grown from acorn, Thin white roots infected with P.cinnamomi</t>
  </si>
  <si>
    <t>RIE</t>
  </si>
  <si>
    <t>SAMN03398611</t>
  </si>
  <si>
    <t>SRS872381</t>
  </si>
  <si>
    <t>Portugal, Four plants grown from acorn, Thin white roots NON-infected with P.cinnamomi</t>
  </si>
  <si>
    <t>RCE</t>
  </si>
  <si>
    <t>SAMN03398607</t>
  </si>
  <si>
    <t>SRS872360</t>
  </si>
  <si>
    <t>Germinated acorns, 8cm</t>
  </si>
  <si>
    <t>RIZ (RA)</t>
  </si>
  <si>
    <t>Portugal, Roots from germinated acorns infected with P. cinnamomi zoospores (8h, 20h, 36h)</t>
  </si>
  <si>
    <t>SAMN03397812</t>
  </si>
  <si>
    <t>SRS872225</t>
  </si>
  <si>
    <t>Germinated acorns, 8 cm</t>
  </si>
  <si>
    <t>RC (RA)</t>
  </si>
  <si>
    <t>Portugal, Roots non-infected with P.cinnamomi (NI) from germinated acorns (0h, 8h, 20h, 36h)</t>
  </si>
  <si>
    <t>PRJNA218877</t>
  </si>
  <si>
    <t>SAMN02355983</t>
  </si>
  <si>
    <t>SRS487522</t>
  </si>
  <si>
    <t>cork</t>
  </si>
  <si>
    <t>cc 100y</t>
  </si>
  <si>
    <t>Cork</t>
  </si>
  <si>
    <t>Portugal, Small RNA transcriptome</t>
  </si>
  <si>
    <t>SAMN02355982</t>
  </si>
  <si>
    <t>SRS480225</t>
  </si>
  <si>
    <t>leaf</t>
  </si>
  <si>
    <t>PRJNA218509</t>
  </si>
  <si>
    <t>SAMN02351107</t>
  </si>
  <si>
    <t>SRS489988</t>
  </si>
  <si>
    <t>Portugal, Pool of five trees that produce bad quality cork</t>
  </si>
  <si>
    <t>Fellogenic tissue_BQC</t>
  </si>
  <si>
    <t>SAMN02351106</t>
  </si>
  <si>
    <t>SRS481410</t>
  </si>
  <si>
    <t>Portugal, Pool of five trees that produce good quality cork</t>
  </si>
  <si>
    <t>Mature trees</t>
  </si>
  <si>
    <t>Fellogenic tissue_GQC</t>
  </si>
  <si>
    <t>SAMN00014893</t>
  </si>
  <si>
    <t>SRS083081</t>
  </si>
  <si>
    <t>Bad quality cork</t>
  </si>
  <si>
    <t>cork2M</t>
  </si>
  <si>
    <t>SAMN00014892</t>
  </si>
  <si>
    <t>SRS083080</t>
  </si>
  <si>
    <t>Good quality cork</t>
  </si>
  <si>
    <t>cork1</t>
  </si>
  <si>
    <t>doi: 10.3389/fpls.2015.01195</t>
  </si>
  <si>
    <t>https://doi.org/10.1186/1471-2164-15-371</t>
  </si>
  <si>
    <t>ERR490206</t>
  </si>
  <si>
    <t>ERR490207</t>
  </si>
  <si>
    <t>ERR490205</t>
  </si>
  <si>
    <t>ERR490204</t>
  </si>
  <si>
    <t>ERR490203</t>
  </si>
  <si>
    <t>ERR490202</t>
  </si>
  <si>
    <t>ERR490201</t>
  </si>
  <si>
    <t>ERR167170</t>
  </si>
  <si>
    <t>ERR167169</t>
  </si>
  <si>
    <t>ERR167168</t>
  </si>
  <si>
    <t>ERR167167</t>
  </si>
  <si>
    <t>ERR167187</t>
  </si>
  <si>
    <t>ERR167186</t>
  </si>
  <si>
    <t>ERR167185</t>
  </si>
  <si>
    <t>ERR167184</t>
  </si>
  <si>
    <t>ERR167183</t>
  </si>
  <si>
    <t>ERR167182</t>
  </si>
  <si>
    <t>ERR167181</t>
  </si>
  <si>
    <t>ERR167180</t>
  </si>
  <si>
    <t>ERR167179</t>
  </si>
  <si>
    <t>ERR167178</t>
  </si>
  <si>
    <t>ERR167177</t>
  </si>
  <si>
    <t>ERR167176</t>
  </si>
  <si>
    <t>ERR167175</t>
  </si>
  <si>
    <t>ERR167174</t>
  </si>
  <si>
    <t>ERR167173</t>
  </si>
  <si>
    <t>ERR167172</t>
  </si>
  <si>
    <t>ERR167171</t>
  </si>
  <si>
    <t>SRR5986737</t>
  </si>
  <si>
    <t>SRR5986738</t>
  </si>
  <si>
    <t>SRR5986739</t>
  </si>
  <si>
    <t>SRR5986740</t>
  </si>
  <si>
    <t>SRR5986741</t>
  </si>
  <si>
    <t>SRR3383083</t>
  </si>
  <si>
    <t>SRR5345606</t>
  </si>
  <si>
    <t>SRR5345607</t>
  </si>
  <si>
    <t>SRR4417263</t>
  </si>
  <si>
    <t>SRR4417262</t>
  </si>
  <si>
    <t>SRR4417261</t>
  </si>
  <si>
    <t>SRR4417260</t>
  </si>
  <si>
    <t>SRR3119872</t>
  </si>
  <si>
    <t>SRR3119876</t>
  </si>
  <si>
    <t>SRR1812375</t>
  </si>
  <si>
    <t>SRR1812376</t>
  </si>
  <si>
    <t>SRR1812377</t>
  </si>
  <si>
    <t>SRR1609152</t>
  </si>
  <si>
    <t>SRR1609153</t>
  </si>
  <si>
    <t>SRR1924200</t>
  </si>
  <si>
    <t>SRR1924199</t>
  </si>
  <si>
    <t>SRR1924198</t>
  </si>
  <si>
    <t>SRR1943052</t>
  </si>
  <si>
    <t>SRR988109</t>
  </si>
  <si>
    <t>SRR988108</t>
  </si>
  <si>
    <t>SRR1009172</t>
  </si>
  <si>
    <t>SRR1009171</t>
  </si>
  <si>
    <t>SRR057582</t>
  </si>
  <si>
    <t>SRR057583</t>
  </si>
  <si>
    <t>Phloem</t>
  </si>
  <si>
    <t>Adult trees</t>
  </si>
  <si>
    <t>Annual stems from cork producing Quercus suber x cerris hybrid trees</t>
  </si>
  <si>
    <t>Annual stems from cork non-producing Quercus suber x cerris hybrid trees</t>
  </si>
  <si>
    <t>High quality cork</t>
  </si>
  <si>
    <t>Low quality cork</t>
  </si>
  <si>
    <t>Abiotic stress: control (leaves)</t>
  </si>
  <si>
    <t>Abiotic stress: cold (leaves)</t>
  </si>
  <si>
    <t>Seed germination</t>
  </si>
  <si>
    <t>Seeds</t>
  </si>
  <si>
    <t>Xylen</t>
  </si>
  <si>
    <t>Raw reads were cleaned by removing adaptor sequences, empty reads and low quality sequences</t>
  </si>
  <si>
    <t>Raw reads were filtered by the barcode sequence corresponding to this sample, then adaptors were removed, as well as empty reads and low quality sequences</t>
  </si>
  <si>
    <t>%Bases kept</t>
  </si>
  <si>
    <t>Sickle</t>
  </si>
  <si>
    <t>%Seq. kept</t>
  </si>
  <si>
    <t>In Seq.</t>
  </si>
  <si>
    <t>Out Seq.</t>
  </si>
  <si>
    <t>In Bases</t>
  </si>
  <si>
    <t>Out Bases</t>
  </si>
  <si>
    <t>featureCounts</t>
  </si>
  <si>
    <t>-</t>
  </si>
  <si>
    <t>Assigned</t>
  </si>
  <si>
    <t>Unmapped</t>
  </si>
  <si>
    <t>MultiMapping</t>
  </si>
  <si>
    <t>NoFeatures</t>
  </si>
  <si>
    <t>Ambiguity</t>
  </si>
  <si>
    <t>IC_10A</t>
  </si>
  <si>
    <t>IC_25C</t>
  </si>
  <si>
    <t>IC_25H</t>
  </si>
  <si>
    <t>IC_42H</t>
  </si>
  <si>
    <t>IC__5C</t>
  </si>
  <si>
    <t>IC_42A</t>
  </si>
  <si>
    <t xml:space="preserve">- </t>
  </si>
  <si>
    <t>%Successfully Assigned</t>
  </si>
  <si>
    <t>TagCleaner</t>
  </si>
  <si>
    <t>PrinSeq</t>
  </si>
  <si>
    <t>reads were already pre-processed</t>
  </si>
  <si>
    <t>Roots,shoots</t>
  </si>
  <si>
    <t>Red bud (3), open bud (4)</t>
  </si>
  <si>
    <t>Dormant bud (1), swollen bud (2)</t>
  </si>
  <si>
    <t>fastq-dump error 2.9.2</t>
  </si>
  <si>
    <t>QuercusSuber_DevelopmentState_1_Embryo</t>
  </si>
  <si>
    <t>QuercusSuber_DevelopmentState_2_Embryo</t>
  </si>
  <si>
    <t>QuercusSuber_DevelopmentState_3_Embryo</t>
  </si>
  <si>
    <t>QuercusSuber_DevelopmentState_4_Embryo</t>
  </si>
  <si>
    <t>ERS…</t>
  </si>
  <si>
    <t>GOODQUALITYCORK-RL7</t>
  </si>
  <si>
    <t>BADQUALITYCORK-RL6</t>
  </si>
  <si>
    <t>Female flower RNAseq</t>
  </si>
  <si>
    <t>Male flower RNAseq</t>
  </si>
  <si>
    <t>QuercusSuber_BudSproutingDevelopmentStages_3-4</t>
  </si>
  <si>
    <t>QuercusSuber_BudSproutingDevelopmentStages_1-2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</si>
</sst>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b/>
      <sz val="12"/>
      <color theme="3"/>
      <name val="Arial"/>
      <family val="2"/>
    </font>
    <font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sz val="12"/>
      <color theme="0"/>
      <name val="Arial"/>
      <family val="2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Arial"/>
      <family val="2"/>
    </font>
    <font>
      <sz val="11"/>
      <color theme="1"/>
      <name val="Arial"/>
      <family val="2"/>
    </font>
    <font>
      <b/>
      <sz val="11"/>
      <color theme="3"/>
      <name val="Arial"/>
      <family val="2"/>
    </font>
    <font>
      <sz val="11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uble">
        <color theme="3" tint="-0.499984740745262"/>
      </right>
      <top/>
      <bottom/>
      <diagonal/>
    </border>
    <border>
      <left/>
      <right style="double">
        <color theme="3" tint="-0.499984740745262"/>
      </right>
      <top/>
      <bottom style="medium">
        <color theme="4" tint="0.39997558519241921"/>
      </bottom>
      <diagonal/>
    </border>
    <border>
      <left/>
      <right style="double">
        <color theme="3" tint="-0.499984740745262"/>
      </right>
      <top/>
      <bottom style="thick">
        <color theme="4" tint="0.499984740745262"/>
      </bottom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6" fillId="0" borderId="0" applyNumberForma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9" fillId="0" borderId="2" applyNumberFormat="0" applyFill="0" applyAlignment="0" applyProtection="0"/>
    <xf numFmtId="0" fontId="10" fillId="0" borderId="3" applyNumberFormat="0" applyFill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1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2" borderId="0" xfId="2" applyFont="1" applyAlignment="1">
      <alignment horizontal="center" vertical="center"/>
    </xf>
    <xf numFmtId="0" fontId="7" fillId="2" borderId="0" xfId="2" applyFont="1" applyAlignment="1">
      <alignment horizontal="center" vertical="center" wrapText="1"/>
    </xf>
    <xf numFmtId="0" fontId="6" fillId="0" borderId="0" xfId="3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164" fontId="13" fillId="0" borderId="2" xfId="4" applyNumberFormat="1" applyFont="1" applyBorder="1" applyAlignment="1">
      <alignment horizontal="center" vertical="center"/>
    </xf>
    <xf numFmtId="164" fontId="13" fillId="0" borderId="2" xfId="4" applyNumberFormat="1" applyFont="1" applyFill="1" applyBorder="1" applyAlignment="1">
      <alignment horizontal="center" vertical="center"/>
    </xf>
    <xf numFmtId="10" fontId="13" fillId="0" borderId="5" xfId="5" applyNumberFormat="1" applyFont="1" applyBorder="1" applyAlignment="1">
      <alignment horizontal="center" vertical="center"/>
    </xf>
    <xf numFmtId="10" fontId="13" fillId="0" borderId="5" xfId="5" applyNumberFormat="1" applyFont="1" applyFill="1" applyBorder="1" applyAlignment="1">
      <alignment horizontal="center" vertical="center"/>
    </xf>
    <xf numFmtId="43" fontId="13" fillId="0" borderId="2" xfId="6" applyNumberFormat="1" applyFont="1" applyAlignment="1">
      <alignment horizontal="center" vertical="center"/>
    </xf>
    <xf numFmtId="43" fontId="13" fillId="0" borderId="2" xfId="6" applyNumberFormat="1" applyFont="1" applyFill="1" applyAlignment="1">
      <alignment horizontal="center" vertical="center"/>
    </xf>
    <xf numFmtId="10" fontId="13" fillId="0" borderId="2" xfId="6" applyNumberFormat="1" applyFont="1" applyFill="1" applyAlignment="1">
      <alignment horizontal="center" vertical="center"/>
    </xf>
    <xf numFmtId="164" fontId="12" fillId="0" borderId="0" xfId="4" applyNumberFormat="1" applyFont="1" applyAlignment="1">
      <alignment horizontal="center" vertical="center"/>
    </xf>
    <xf numFmtId="10" fontId="12" fillId="0" borderId="4" xfId="5" applyNumberFormat="1" applyFont="1" applyBorder="1" applyAlignment="1">
      <alignment horizontal="center" vertical="center"/>
    </xf>
    <xf numFmtId="43" fontId="12" fillId="0" borderId="0" xfId="4" applyFont="1" applyAlignment="1">
      <alignment horizontal="center" vertical="center"/>
    </xf>
    <xf numFmtId="10" fontId="12" fillId="0" borderId="0" xfId="5" applyNumberFormat="1" applyFont="1" applyBorder="1" applyAlignment="1">
      <alignment horizontal="center" vertical="center"/>
    </xf>
    <xf numFmtId="164" fontId="12" fillId="4" borderId="0" xfId="4" applyNumberFormat="1" applyFont="1" applyFill="1" applyAlignment="1">
      <alignment horizontal="center" vertical="center"/>
    </xf>
    <xf numFmtId="10" fontId="12" fillId="4" borderId="4" xfId="5" applyNumberFormat="1" applyFont="1" applyFill="1" applyBorder="1" applyAlignment="1">
      <alignment horizontal="center" vertical="center"/>
    </xf>
    <xf numFmtId="164" fontId="12" fillId="0" borderId="0" xfId="4" quotePrefix="1" applyNumberFormat="1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3" fillId="0" borderId="2" xfId="6" applyFont="1" applyAlignment="1">
      <alignment horizontal="center"/>
    </xf>
    <xf numFmtId="0" fontId="5" fillId="0" borderId="4" xfId="0" applyFont="1" applyBorder="1" applyAlignment="1">
      <alignment horizontal="center"/>
    </xf>
    <xf numFmtId="10" fontId="12" fillId="0" borderId="0" xfId="5" applyNumberFormat="1" applyFont="1" applyAlignment="1">
      <alignment horizontal="center"/>
    </xf>
    <xf numFmtId="10" fontId="10" fillId="0" borderId="3" xfId="7" applyNumberFormat="1" applyAlignment="1">
      <alignment horizontal="center"/>
    </xf>
    <xf numFmtId="164" fontId="14" fillId="0" borderId="0" xfId="4" applyNumberFormat="1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3" fontId="11" fillId="0" borderId="1" xfId="4" applyFont="1" applyFill="1" applyBorder="1" applyAlignment="1">
      <alignment horizontal="center" vertical="center"/>
    </xf>
    <xf numFmtId="43" fontId="11" fillId="0" borderId="1" xfId="4" applyFont="1" applyBorder="1" applyAlignment="1">
      <alignment horizontal="center" vertical="center"/>
    </xf>
    <xf numFmtId="43" fontId="11" fillId="0" borderId="0" xfId="4" applyFont="1" applyBorder="1" applyAlignment="1">
      <alignment horizontal="center" vertical="center"/>
    </xf>
  </cellXfs>
  <cellStyles count="8">
    <cellStyle name="Accent1" xfId="2" builtinId="29"/>
    <cellStyle name="Comma" xfId="4" builtinId="3"/>
    <cellStyle name="Heading 2" xfId="1" builtinId="17"/>
    <cellStyle name="Heading 3" xfId="6" builtinId="18"/>
    <cellStyle name="Hyperlink" xfId="3" builtinId="8"/>
    <cellStyle name="Normal" xfId="0" builtinId="0"/>
    <cellStyle name="Percent" xfId="5" builtinId="5"/>
    <cellStyle name="Total" xfId="7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i.org/10.1186/1471-2164-15-371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1"/>
  <sheetViews>
    <sheetView tabSelected="1" zoomScale="60" zoomScaleNormal="60" workbookViewId="0">
      <selection activeCell="G45" sqref="G45"/>
    </sheetView>
  </sheetViews>
  <sheetFormatPr defaultRowHeight="15" x14ac:dyDescent="0.25"/>
  <cols>
    <col min="1" max="1" width="18.28515625" style="3" bestFit="1" customWidth="1"/>
    <col min="2" max="2" width="20.140625" style="3" bestFit="1" customWidth="1"/>
    <col min="3" max="4" width="16.85546875" style="3" bestFit="1" customWidth="1"/>
    <col min="5" max="5" width="16.5703125" style="3" bestFit="1" customWidth="1"/>
    <col min="6" max="6" width="16.5703125" style="3" customWidth="1"/>
    <col min="7" max="7" width="37" style="3" bestFit="1" customWidth="1"/>
    <col min="8" max="8" width="9.7109375" style="3" bestFit="1" customWidth="1"/>
    <col min="9" max="9" width="41.5703125" style="3" customWidth="1"/>
    <col min="10" max="10" width="129.28515625" style="3" customWidth="1"/>
    <col min="11" max="16384" width="9.140625" style="3"/>
  </cols>
  <sheetData>
    <row r="1" spans="1:10" ht="16.5" thickBot="1" x14ac:dyDescent="0.3">
      <c r="A1" s="2" t="s">
        <v>6</v>
      </c>
      <c r="B1" s="2" t="s">
        <v>0</v>
      </c>
      <c r="C1" s="2" t="s">
        <v>1</v>
      </c>
      <c r="D1" s="2"/>
      <c r="E1" s="2" t="s">
        <v>3</v>
      </c>
      <c r="F1" s="2"/>
      <c r="G1" s="2" t="s">
        <v>4</v>
      </c>
      <c r="H1" s="2"/>
      <c r="I1" s="2" t="s">
        <v>5</v>
      </c>
      <c r="J1" s="2" t="s">
        <v>2</v>
      </c>
    </row>
    <row r="2" spans="1:10" ht="15.75" thickTop="1" x14ac:dyDescent="0.25">
      <c r="A2" s="6" t="s">
        <v>7</v>
      </c>
      <c r="B2" s="1" t="s">
        <v>8</v>
      </c>
      <c r="C2" s="1" t="s">
        <v>9</v>
      </c>
      <c r="D2" s="1" t="s">
        <v>256</v>
      </c>
      <c r="E2" s="3" t="s">
        <v>11</v>
      </c>
      <c r="F2" s="3" t="s">
        <v>359</v>
      </c>
      <c r="G2" s="3" t="s">
        <v>12</v>
      </c>
      <c r="H2" s="3">
        <v>454</v>
      </c>
      <c r="I2" s="3" t="s">
        <v>13</v>
      </c>
      <c r="J2" s="3" t="s">
        <v>10</v>
      </c>
    </row>
    <row r="3" spans="1:10" x14ac:dyDescent="0.25">
      <c r="A3" s="3" t="s">
        <v>30</v>
      </c>
      <c r="B3" s="1" t="s">
        <v>14</v>
      </c>
      <c r="C3" s="1" t="s">
        <v>15</v>
      </c>
      <c r="D3" s="1" t="s">
        <v>257</v>
      </c>
      <c r="E3" s="3" t="s">
        <v>17</v>
      </c>
      <c r="G3" s="3" t="s">
        <v>12</v>
      </c>
      <c r="H3" s="3" t="s">
        <v>18</v>
      </c>
      <c r="I3" s="3" t="s">
        <v>19</v>
      </c>
      <c r="J3" s="3" t="s">
        <v>16</v>
      </c>
    </row>
    <row r="4" spans="1:10" x14ac:dyDescent="0.25">
      <c r="A4" s="3" t="s">
        <v>30</v>
      </c>
      <c r="B4" s="1" t="s">
        <v>22</v>
      </c>
      <c r="C4" s="1" t="s">
        <v>21</v>
      </c>
      <c r="D4" s="37" t="s">
        <v>258</v>
      </c>
      <c r="E4" s="3" t="s">
        <v>11</v>
      </c>
      <c r="G4" s="3" t="s">
        <v>20</v>
      </c>
      <c r="H4" s="3" t="s">
        <v>18</v>
      </c>
      <c r="I4" s="3" t="s">
        <v>20</v>
      </c>
      <c r="J4" s="3" t="s">
        <v>23</v>
      </c>
    </row>
    <row r="5" spans="1:10" x14ac:dyDescent="0.25">
      <c r="A5" s="3" t="s">
        <v>30</v>
      </c>
      <c r="B5" s="1" t="s">
        <v>25</v>
      </c>
      <c r="C5" s="1" t="s">
        <v>26</v>
      </c>
      <c r="D5" s="1" t="s">
        <v>259</v>
      </c>
      <c r="E5" s="3" t="s">
        <v>11</v>
      </c>
      <c r="G5" s="3" t="s">
        <v>24</v>
      </c>
      <c r="H5" s="3" t="s">
        <v>18</v>
      </c>
      <c r="I5" s="3" t="s">
        <v>24</v>
      </c>
      <c r="J5" s="3" t="s">
        <v>27</v>
      </c>
    </row>
    <row r="6" spans="1:10" x14ac:dyDescent="0.25">
      <c r="A6" s="3" t="s">
        <v>30</v>
      </c>
      <c r="B6" s="1" t="s">
        <v>28</v>
      </c>
      <c r="C6" s="1" t="s">
        <v>29</v>
      </c>
      <c r="D6" s="38" t="s">
        <v>260</v>
      </c>
      <c r="E6" s="3" t="s">
        <v>11</v>
      </c>
      <c r="G6" s="3" t="s">
        <v>32</v>
      </c>
      <c r="H6" s="3" t="s">
        <v>18</v>
      </c>
      <c r="I6" s="3" t="s">
        <v>33</v>
      </c>
      <c r="J6" s="3" t="s">
        <v>31</v>
      </c>
    </row>
    <row r="7" spans="1:10" x14ac:dyDescent="0.25">
      <c r="A7" s="3" t="s">
        <v>30</v>
      </c>
      <c r="B7" s="1" t="s">
        <v>34</v>
      </c>
      <c r="C7" s="1" t="s">
        <v>35</v>
      </c>
      <c r="D7" s="1" t="s">
        <v>261</v>
      </c>
      <c r="E7" s="3" t="s">
        <v>11</v>
      </c>
      <c r="G7" s="3" t="s">
        <v>37</v>
      </c>
      <c r="H7" s="3" t="s">
        <v>18</v>
      </c>
      <c r="I7" s="3" t="s">
        <v>37</v>
      </c>
      <c r="J7" s="3" t="s">
        <v>36</v>
      </c>
    </row>
    <row r="8" spans="1:10" x14ac:dyDescent="0.25">
      <c r="A8" s="3" t="s">
        <v>30</v>
      </c>
      <c r="B8" s="1" t="s">
        <v>38</v>
      </c>
      <c r="C8" s="1" t="s">
        <v>39</v>
      </c>
      <c r="D8" s="37" t="s">
        <v>262</v>
      </c>
      <c r="E8" s="3" t="s">
        <v>11</v>
      </c>
      <c r="G8" s="3" t="s">
        <v>41</v>
      </c>
      <c r="H8" s="3" t="s">
        <v>18</v>
      </c>
      <c r="I8" s="3" t="s">
        <v>41</v>
      </c>
      <c r="J8" s="3" t="s">
        <v>40</v>
      </c>
    </row>
    <row r="10" spans="1:10" x14ac:dyDescent="0.25">
      <c r="A10" s="6" t="s">
        <v>42</v>
      </c>
      <c r="B10" s="1" t="s">
        <v>53</v>
      </c>
      <c r="C10" s="1" t="s">
        <v>54</v>
      </c>
      <c r="D10" s="1" t="s">
        <v>266</v>
      </c>
      <c r="E10" s="3" t="s">
        <v>313</v>
      </c>
      <c r="F10" s="3" t="s">
        <v>359</v>
      </c>
      <c r="G10" s="3" t="s">
        <v>314</v>
      </c>
      <c r="H10" s="3" t="s">
        <v>18</v>
      </c>
      <c r="I10" s="3" t="s">
        <v>55</v>
      </c>
    </row>
    <row r="11" spans="1:10" x14ac:dyDescent="0.25">
      <c r="A11" s="3" t="s">
        <v>30</v>
      </c>
      <c r="B11" s="1" t="s">
        <v>104</v>
      </c>
      <c r="C11" s="1" t="s">
        <v>105</v>
      </c>
      <c r="D11" s="1" t="s">
        <v>278</v>
      </c>
      <c r="E11" s="3" t="s">
        <v>11</v>
      </c>
      <c r="G11" s="3" t="s">
        <v>107</v>
      </c>
      <c r="H11" s="3" t="s">
        <v>18</v>
      </c>
      <c r="I11" s="3" t="s">
        <v>108</v>
      </c>
      <c r="J11" s="3" t="s">
        <v>106</v>
      </c>
    </row>
    <row r="12" spans="1:10" x14ac:dyDescent="0.25">
      <c r="A12" s="3" t="s">
        <v>30</v>
      </c>
      <c r="B12" s="1" t="s">
        <v>99</v>
      </c>
      <c r="C12" s="1" t="s">
        <v>100</v>
      </c>
      <c r="D12" s="1" t="s">
        <v>277</v>
      </c>
      <c r="E12" s="3" t="s">
        <v>11</v>
      </c>
      <c r="G12" s="3" t="s">
        <v>102</v>
      </c>
      <c r="H12" s="3" t="s">
        <v>18</v>
      </c>
      <c r="I12" s="3" t="s">
        <v>103</v>
      </c>
      <c r="J12" s="3" t="s">
        <v>101</v>
      </c>
    </row>
    <row r="13" spans="1:10" x14ac:dyDescent="0.25">
      <c r="A13" s="3" t="s">
        <v>30</v>
      </c>
      <c r="B13" s="1" t="s">
        <v>94</v>
      </c>
      <c r="C13" s="1" t="s">
        <v>95</v>
      </c>
      <c r="D13" s="1" t="s">
        <v>276</v>
      </c>
      <c r="E13" s="3" t="s">
        <v>92</v>
      </c>
      <c r="G13" s="3" t="s">
        <v>97</v>
      </c>
      <c r="H13" s="3" t="s">
        <v>18</v>
      </c>
      <c r="I13" s="3" t="s">
        <v>98</v>
      </c>
      <c r="J13" s="3" t="s">
        <v>96</v>
      </c>
    </row>
    <row r="14" spans="1:10" x14ac:dyDescent="0.25">
      <c r="A14" s="3" t="s">
        <v>30</v>
      </c>
      <c r="B14" s="1" t="s">
        <v>89</v>
      </c>
      <c r="C14" s="1" t="s">
        <v>90</v>
      </c>
      <c r="D14" s="1" t="s">
        <v>275</v>
      </c>
      <c r="E14" s="3" t="s">
        <v>92</v>
      </c>
      <c r="H14" s="3" t="s">
        <v>18</v>
      </c>
      <c r="I14" s="3" t="s">
        <v>91</v>
      </c>
      <c r="J14" s="3" t="s">
        <v>93</v>
      </c>
    </row>
    <row r="15" spans="1:10" x14ac:dyDescent="0.25">
      <c r="A15" s="3" t="s">
        <v>51</v>
      </c>
      <c r="B15" s="1" t="s">
        <v>86</v>
      </c>
      <c r="C15" s="1" t="s">
        <v>87</v>
      </c>
      <c r="D15" s="1" t="s">
        <v>274</v>
      </c>
      <c r="E15" s="3" t="s">
        <v>84</v>
      </c>
      <c r="H15" s="3" t="s">
        <v>18</v>
      </c>
      <c r="I15" s="3" t="s">
        <v>88</v>
      </c>
      <c r="J15" s="3" t="s">
        <v>315</v>
      </c>
    </row>
    <row r="16" spans="1:10" x14ac:dyDescent="0.25">
      <c r="A16" s="3" t="s">
        <v>30</v>
      </c>
      <c r="B16" s="1" t="s">
        <v>82</v>
      </c>
      <c r="C16" s="1" t="s">
        <v>83</v>
      </c>
      <c r="D16" s="1" t="s">
        <v>273</v>
      </c>
      <c r="E16" s="3" t="s">
        <v>84</v>
      </c>
      <c r="H16" s="3" t="s">
        <v>18</v>
      </c>
      <c r="I16" s="3" t="s">
        <v>85</v>
      </c>
      <c r="J16" s="3" t="s">
        <v>316</v>
      </c>
    </row>
    <row r="17" spans="1:11" x14ac:dyDescent="0.25">
      <c r="A17" s="3" t="s">
        <v>30</v>
      </c>
      <c r="B17" s="1" t="s">
        <v>77</v>
      </c>
      <c r="C17" s="1" t="s">
        <v>78</v>
      </c>
      <c r="D17" s="1" t="s">
        <v>272</v>
      </c>
      <c r="E17" s="3" t="s">
        <v>74</v>
      </c>
      <c r="G17" s="3" t="s">
        <v>80</v>
      </c>
      <c r="H17" s="3" t="s">
        <v>18</v>
      </c>
      <c r="I17" s="3" t="s">
        <v>81</v>
      </c>
      <c r="J17" s="3" t="s">
        <v>79</v>
      </c>
    </row>
    <row r="18" spans="1:11" x14ac:dyDescent="0.25">
      <c r="A18" s="3" t="s">
        <v>30</v>
      </c>
      <c r="B18" s="1" t="s">
        <v>71</v>
      </c>
      <c r="C18" s="1" t="s">
        <v>72</v>
      </c>
      <c r="D18" s="1" t="s">
        <v>271</v>
      </c>
      <c r="E18" s="3" t="s">
        <v>74</v>
      </c>
      <c r="G18" s="3" t="s">
        <v>75</v>
      </c>
      <c r="H18" s="3" t="s">
        <v>18</v>
      </c>
      <c r="I18" s="3" t="s">
        <v>76</v>
      </c>
      <c r="J18" s="3" t="s">
        <v>73</v>
      </c>
    </row>
    <row r="19" spans="1:11" x14ac:dyDescent="0.25">
      <c r="A19" s="3" t="s">
        <v>30</v>
      </c>
      <c r="B19" s="1" t="s">
        <v>67</v>
      </c>
      <c r="C19" s="1" t="s">
        <v>68</v>
      </c>
      <c r="D19" s="1" t="s">
        <v>270</v>
      </c>
      <c r="E19" s="3" t="s">
        <v>351</v>
      </c>
      <c r="H19" s="3" t="s">
        <v>18</v>
      </c>
      <c r="I19" s="3" t="s">
        <v>70</v>
      </c>
      <c r="J19" s="3" t="s">
        <v>69</v>
      </c>
    </row>
    <row r="20" spans="1:11" x14ac:dyDescent="0.25">
      <c r="A20" s="3" t="s">
        <v>30</v>
      </c>
      <c r="B20" s="1" t="s">
        <v>62</v>
      </c>
      <c r="C20" s="1" t="s">
        <v>63</v>
      </c>
      <c r="D20" s="1" t="s">
        <v>269</v>
      </c>
      <c r="E20" s="3" t="s">
        <v>66</v>
      </c>
      <c r="H20" s="3" t="s">
        <v>18</v>
      </c>
      <c r="I20" s="3" t="s">
        <v>64</v>
      </c>
      <c r="J20" s="3" t="s">
        <v>65</v>
      </c>
    </row>
    <row r="21" spans="1:11" x14ac:dyDescent="0.25">
      <c r="A21" s="3" t="s">
        <v>30</v>
      </c>
      <c r="B21" s="1" t="s">
        <v>49</v>
      </c>
      <c r="C21" s="1" t="s">
        <v>50</v>
      </c>
      <c r="D21" s="1" t="s">
        <v>265</v>
      </c>
      <c r="E21" s="3" t="s">
        <v>323</v>
      </c>
      <c r="G21" s="3" t="s">
        <v>314</v>
      </c>
      <c r="H21" s="3" t="s">
        <v>18</v>
      </c>
      <c r="I21" s="3" t="s">
        <v>52</v>
      </c>
    </row>
    <row r="22" spans="1:11" x14ac:dyDescent="0.25">
      <c r="A22" s="3" t="s">
        <v>51</v>
      </c>
      <c r="B22" s="1" t="s">
        <v>59</v>
      </c>
      <c r="C22" s="1" t="s">
        <v>60</v>
      </c>
      <c r="D22" s="1" t="s">
        <v>268</v>
      </c>
      <c r="E22" s="3" t="s">
        <v>231</v>
      </c>
      <c r="H22" s="3" t="s">
        <v>18</v>
      </c>
      <c r="I22" s="3" t="s">
        <v>61</v>
      </c>
      <c r="J22" s="3" t="s">
        <v>317</v>
      </c>
    </row>
    <row r="23" spans="1:11" x14ac:dyDescent="0.25">
      <c r="A23" s="3" t="s">
        <v>30</v>
      </c>
      <c r="B23" s="1" t="s">
        <v>56</v>
      </c>
      <c r="C23" s="1" t="s">
        <v>57</v>
      </c>
      <c r="D23" s="1" t="s">
        <v>267</v>
      </c>
      <c r="E23" s="3" t="s">
        <v>231</v>
      </c>
      <c r="H23" s="3" t="s">
        <v>18</v>
      </c>
      <c r="I23" s="3" t="s">
        <v>58</v>
      </c>
      <c r="J23" s="3" t="s">
        <v>318</v>
      </c>
    </row>
    <row r="24" spans="1:11" x14ac:dyDescent="0.25">
      <c r="A24" s="3" t="s">
        <v>30</v>
      </c>
      <c r="B24" s="1" t="s">
        <v>46</v>
      </c>
      <c r="C24" s="1" t="s">
        <v>47</v>
      </c>
      <c r="D24" s="1" t="s">
        <v>264</v>
      </c>
      <c r="E24" s="3" t="s">
        <v>66</v>
      </c>
      <c r="H24" s="3" t="s">
        <v>18</v>
      </c>
      <c r="I24" s="3" t="s">
        <v>48</v>
      </c>
      <c r="J24" s="3" t="s">
        <v>319</v>
      </c>
    </row>
    <row r="25" spans="1:11" x14ac:dyDescent="0.25">
      <c r="A25" s="3" t="s">
        <v>30</v>
      </c>
      <c r="B25" s="1" t="s">
        <v>43</v>
      </c>
      <c r="C25" s="1" t="s">
        <v>44</v>
      </c>
      <c r="D25" s="1" t="s">
        <v>263</v>
      </c>
      <c r="E25" s="3" t="s">
        <v>66</v>
      </c>
      <c r="H25" s="3">
        <v>454</v>
      </c>
      <c r="I25" s="3" t="s">
        <v>45</v>
      </c>
      <c r="J25" s="3" t="s">
        <v>320</v>
      </c>
      <c r="K25" s="8" t="s">
        <v>255</v>
      </c>
    </row>
    <row r="26" spans="1:11" x14ac:dyDescent="0.25">
      <c r="A26" s="3" t="s">
        <v>30</v>
      </c>
      <c r="B26" s="1" t="s">
        <v>126</v>
      </c>
      <c r="C26" s="1" t="s">
        <v>127</v>
      </c>
      <c r="D26" s="1" t="s">
        <v>283</v>
      </c>
      <c r="E26" s="3" t="s">
        <v>66</v>
      </c>
      <c r="H26" s="3" t="s">
        <v>18</v>
      </c>
      <c r="I26" s="3" t="s">
        <v>129</v>
      </c>
      <c r="J26" s="3" t="s">
        <v>128</v>
      </c>
    </row>
    <row r="27" spans="1:11" x14ac:dyDescent="0.25">
      <c r="A27" s="3" t="s">
        <v>30</v>
      </c>
      <c r="B27" s="1" t="s">
        <v>123</v>
      </c>
      <c r="C27" s="1" t="s">
        <v>124</v>
      </c>
      <c r="D27" s="1" t="s">
        <v>282</v>
      </c>
      <c r="E27" s="3" t="s">
        <v>322</v>
      </c>
      <c r="H27" s="3" t="s">
        <v>18</v>
      </c>
      <c r="I27" s="3" t="s">
        <v>125</v>
      </c>
      <c r="J27" s="3" t="s">
        <v>321</v>
      </c>
    </row>
    <row r="28" spans="1:11" x14ac:dyDescent="0.25">
      <c r="A28" s="3" t="s">
        <v>30</v>
      </c>
      <c r="B28" s="1" t="s">
        <v>119</v>
      </c>
      <c r="C28" s="1" t="s">
        <v>120</v>
      </c>
      <c r="D28" s="1" t="s">
        <v>281</v>
      </c>
      <c r="E28" s="3" t="s">
        <v>117</v>
      </c>
      <c r="H28" s="3" t="s">
        <v>18</v>
      </c>
      <c r="I28" s="3" t="s">
        <v>122</v>
      </c>
      <c r="J28" s="3" t="s">
        <v>121</v>
      </c>
    </row>
    <row r="29" spans="1:11" x14ac:dyDescent="0.25">
      <c r="A29" s="3" t="s">
        <v>30</v>
      </c>
      <c r="B29" s="1" t="s">
        <v>114</v>
      </c>
      <c r="C29" s="1" t="s">
        <v>115</v>
      </c>
      <c r="D29" s="1" t="s">
        <v>280</v>
      </c>
      <c r="E29" s="3" t="s">
        <v>117</v>
      </c>
      <c r="H29" s="3" t="s">
        <v>18</v>
      </c>
      <c r="I29" s="3" t="s">
        <v>118</v>
      </c>
      <c r="J29" s="3" t="s">
        <v>116</v>
      </c>
    </row>
    <row r="30" spans="1:11" x14ac:dyDescent="0.25">
      <c r="A30" s="3" t="s">
        <v>30</v>
      </c>
      <c r="B30" s="1" t="s">
        <v>109</v>
      </c>
      <c r="C30" s="1" t="s">
        <v>110</v>
      </c>
      <c r="D30" s="1" t="s">
        <v>279</v>
      </c>
      <c r="E30" s="3" t="s">
        <v>17</v>
      </c>
      <c r="G30" s="3" t="s">
        <v>112</v>
      </c>
      <c r="H30" s="3" t="s">
        <v>18</v>
      </c>
      <c r="I30" s="3" t="s">
        <v>113</v>
      </c>
      <c r="J30" s="3" t="s">
        <v>111</v>
      </c>
    </row>
    <row r="33" spans="1:11" x14ac:dyDescent="0.25">
      <c r="A33" s="6" t="s">
        <v>131</v>
      </c>
      <c r="B33" s="3" t="s">
        <v>132</v>
      </c>
      <c r="C33" s="1" t="s">
        <v>133</v>
      </c>
      <c r="D33" s="1" t="s">
        <v>284</v>
      </c>
      <c r="E33" s="3" t="s">
        <v>134</v>
      </c>
      <c r="F33" s="3" t="s">
        <v>136</v>
      </c>
      <c r="G33" s="3" t="s">
        <v>137</v>
      </c>
      <c r="H33" s="3" t="s">
        <v>130</v>
      </c>
      <c r="I33" s="3" t="s">
        <v>136</v>
      </c>
      <c r="J33" s="3" t="s">
        <v>138</v>
      </c>
      <c r="K33" s="3" t="s">
        <v>325</v>
      </c>
    </row>
    <row r="34" spans="1:11" x14ac:dyDescent="0.25">
      <c r="A34" s="3" t="s">
        <v>30</v>
      </c>
      <c r="D34" s="3" t="s">
        <v>285</v>
      </c>
      <c r="E34" s="3" t="s">
        <v>135</v>
      </c>
      <c r="G34" s="3" t="s">
        <v>18</v>
      </c>
      <c r="H34" s="3" t="s">
        <v>18</v>
      </c>
      <c r="J34" s="3" t="s">
        <v>18</v>
      </c>
    </row>
    <row r="35" spans="1:11" x14ac:dyDescent="0.25">
      <c r="A35" s="3" t="s">
        <v>30</v>
      </c>
      <c r="D35" s="3" t="s">
        <v>286</v>
      </c>
      <c r="E35" s="3" t="s">
        <v>66</v>
      </c>
      <c r="G35" s="3" t="s">
        <v>18</v>
      </c>
      <c r="H35" s="3" t="s">
        <v>18</v>
      </c>
      <c r="J35" s="3" t="s">
        <v>18</v>
      </c>
    </row>
    <row r="36" spans="1:11" x14ac:dyDescent="0.25">
      <c r="A36" s="3" t="s">
        <v>30</v>
      </c>
      <c r="D36" s="3" t="s">
        <v>287</v>
      </c>
      <c r="E36" s="3" t="s">
        <v>139</v>
      </c>
      <c r="G36" s="3" t="s">
        <v>18</v>
      </c>
      <c r="H36" s="3" t="s">
        <v>18</v>
      </c>
      <c r="J36" s="3" t="s">
        <v>18</v>
      </c>
    </row>
    <row r="37" spans="1:11" x14ac:dyDescent="0.25">
      <c r="A37" s="3" t="s">
        <v>30</v>
      </c>
      <c r="D37" s="3" t="s">
        <v>288</v>
      </c>
      <c r="E37" s="3" t="s">
        <v>140</v>
      </c>
      <c r="G37" s="3" t="s">
        <v>18</v>
      </c>
      <c r="H37" s="3" t="s">
        <v>18</v>
      </c>
      <c r="J37" s="3" t="s">
        <v>18</v>
      </c>
    </row>
    <row r="39" spans="1:11" x14ac:dyDescent="0.25">
      <c r="A39" s="6" t="s">
        <v>141</v>
      </c>
      <c r="B39" s="1" t="s">
        <v>142</v>
      </c>
      <c r="C39" s="1" t="s">
        <v>143</v>
      </c>
      <c r="D39" s="38" t="s">
        <v>289</v>
      </c>
      <c r="E39" s="3" t="s">
        <v>134</v>
      </c>
      <c r="F39" s="3" t="s">
        <v>146</v>
      </c>
      <c r="G39" s="3" t="s">
        <v>145</v>
      </c>
      <c r="H39" s="3">
        <v>454</v>
      </c>
      <c r="I39" s="3" t="s">
        <v>146</v>
      </c>
      <c r="J39" s="3" t="s">
        <v>144</v>
      </c>
    </row>
    <row r="41" spans="1:11" x14ac:dyDescent="0.25">
      <c r="A41" s="6" t="s">
        <v>147</v>
      </c>
      <c r="B41" s="1" t="s">
        <v>148</v>
      </c>
      <c r="C41" s="1" t="s">
        <v>149</v>
      </c>
      <c r="D41" s="3" t="s">
        <v>290</v>
      </c>
      <c r="E41" s="3" t="s">
        <v>74</v>
      </c>
      <c r="F41" s="3" t="s">
        <v>364</v>
      </c>
      <c r="G41" s="3" t="s">
        <v>352</v>
      </c>
      <c r="H41" s="3">
        <v>454</v>
      </c>
      <c r="I41" s="3" t="s">
        <v>150</v>
      </c>
      <c r="J41" s="3" t="s">
        <v>151</v>
      </c>
    </row>
    <row r="42" spans="1:11" x14ac:dyDescent="0.25">
      <c r="A42" s="3" t="s">
        <v>30</v>
      </c>
      <c r="B42" s="1" t="s">
        <v>152</v>
      </c>
      <c r="C42" s="1" t="s">
        <v>153</v>
      </c>
      <c r="D42" s="3" t="s">
        <v>291</v>
      </c>
      <c r="E42" s="3" t="s">
        <v>74</v>
      </c>
      <c r="F42" s="3" t="s">
        <v>365</v>
      </c>
      <c r="G42" s="3" t="s">
        <v>353</v>
      </c>
      <c r="H42" s="3" t="s">
        <v>18</v>
      </c>
      <c r="J42" s="3" t="s">
        <v>154</v>
      </c>
    </row>
    <row r="43" spans="1:11" x14ac:dyDescent="0.25">
      <c r="B43" s="1"/>
      <c r="C43" s="1"/>
    </row>
    <row r="44" spans="1:11" x14ac:dyDescent="0.25">
      <c r="A44" s="7" t="s">
        <v>155</v>
      </c>
      <c r="B44" s="1" t="s">
        <v>156</v>
      </c>
      <c r="C44" s="1" t="s">
        <v>157</v>
      </c>
      <c r="D44" s="3" t="s">
        <v>292</v>
      </c>
      <c r="E44" s="3" t="s">
        <v>159</v>
      </c>
      <c r="F44" s="3" t="s">
        <v>358</v>
      </c>
      <c r="G44" s="3" t="s">
        <v>158</v>
      </c>
      <c r="H44" s="3" t="s">
        <v>130</v>
      </c>
      <c r="I44" s="3" t="s">
        <v>160</v>
      </c>
      <c r="J44" s="3" t="s">
        <v>161</v>
      </c>
      <c r="K44" s="3" t="s">
        <v>324</v>
      </c>
    </row>
    <row r="45" spans="1:11" x14ac:dyDescent="0.25">
      <c r="A45" s="3" t="s">
        <v>30</v>
      </c>
      <c r="B45" s="1" t="s">
        <v>162</v>
      </c>
      <c r="C45" s="1" t="s">
        <v>163</v>
      </c>
      <c r="D45" s="3" t="s">
        <v>293</v>
      </c>
      <c r="E45" s="3" t="s">
        <v>159</v>
      </c>
      <c r="F45" s="3" t="s">
        <v>357</v>
      </c>
      <c r="G45" s="3" t="s">
        <v>164</v>
      </c>
      <c r="H45" s="3" t="s">
        <v>18</v>
      </c>
      <c r="I45" s="3" t="s">
        <v>165</v>
      </c>
      <c r="J45" s="3" t="s">
        <v>166</v>
      </c>
    </row>
    <row r="46" spans="1:11" x14ac:dyDescent="0.25">
      <c r="A46" s="3" t="s">
        <v>30</v>
      </c>
      <c r="B46" s="1" t="s">
        <v>167</v>
      </c>
      <c r="C46" s="1" t="s">
        <v>168</v>
      </c>
      <c r="D46" s="3" t="s">
        <v>294</v>
      </c>
      <c r="E46" s="3" t="s">
        <v>159</v>
      </c>
      <c r="F46" t="s">
        <v>356</v>
      </c>
      <c r="G46" s="3" t="s">
        <v>169</v>
      </c>
      <c r="H46" s="3" t="s">
        <v>18</v>
      </c>
      <c r="I46" s="3" t="s">
        <v>170</v>
      </c>
      <c r="J46" s="3" t="s">
        <v>171</v>
      </c>
    </row>
    <row r="47" spans="1:11" x14ac:dyDescent="0.25">
      <c r="A47" s="3" t="s">
        <v>30</v>
      </c>
      <c r="B47" s="1" t="s">
        <v>172</v>
      </c>
      <c r="C47" s="1" t="s">
        <v>173</v>
      </c>
      <c r="D47" s="3" t="s">
        <v>295</v>
      </c>
      <c r="E47" s="3" t="s">
        <v>159</v>
      </c>
      <c r="F47" s="3" t="s">
        <v>355</v>
      </c>
      <c r="G47" s="3" t="s">
        <v>174</v>
      </c>
      <c r="H47" s="3" t="s">
        <v>18</v>
      </c>
      <c r="I47" s="3" t="s">
        <v>175</v>
      </c>
      <c r="J47" s="3" t="s">
        <v>176</v>
      </c>
    </row>
    <row r="48" spans="1:11" x14ac:dyDescent="0.25">
      <c r="B48" s="1"/>
      <c r="C48" s="1"/>
    </row>
    <row r="49" spans="1:11" x14ac:dyDescent="0.25">
      <c r="A49" s="6" t="s">
        <v>177</v>
      </c>
      <c r="B49" s="1" t="s">
        <v>178</v>
      </c>
      <c r="C49" s="1" t="s">
        <v>179</v>
      </c>
      <c r="D49" s="3" t="s">
        <v>296</v>
      </c>
      <c r="E49" s="3" t="s">
        <v>181</v>
      </c>
      <c r="F49" s="3" t="s">
        <v>180</v>
      </c>
      <c r="G49" s="3" t="s">
        <v>182</v>
      </c>
      <c r="H49" s="3">
        <v>454</v>
      </c>
      <c r="I49" s="3" t="s">
        <v>180</v>
      </c>
      <c r="J49" s="3" t="s">
        <v>183</v>
      </c>
    </row>
    <row r="50" spans="1:11" x14ac:dyDescent="0.25">
      <c r="A50" s="3" t="s">
        <v>30</v>
      </c>
      <c r="B50" s="1" t="s">
        <v>184</v>
      </c>
      <c r="D50" s="3" t="s">
        <v>297</v>
      </c>
      <c r="E50" s="3" t="s">
        <v>18</v>
      </c>
      <c r="F50" s="3" t="s">
        <v>185</v>
      </c>
      <c r="G50" s="3" t="s">
        <v>18</v>
      </c>
      <c r="H50" s="3" t="s">
        <v>18</v>
      </c>
      <c r="I50" s="3" t="s">
        <v>185</v>
      </c>
      <c r="J50" s="3" t="s">
        <v>18</v>
      </c>
    </row>
    <row r="52" spans="1:11" x14ac:dyDescent="0.25">
      <c r="A52" s="6" t="s">
        <v>186</v>
      </c>
      <c r="B52" s="1" t="s">
        <v>187</v>
      </c>
      <c r="C52" s="1" t="s">
        <v>188</v>
      </c>
      <c r="D52" s="3" t="s">
        <v>298</v>
      </c>
      <c r="E52" s="3" t="s">
        <v>92</v>
      </c>
      <c r="F52" s="3" t="s">
        <v>191</v>
      </c>
      <c r="G52" s="3" t="s">
        <v>189</v>
      </c>
      <c r="H52" s="3">
        <v>454</v>
      </c>
      <c r="I52" s="3" t="s">
        <v>191</v>
      </c>
      <c r="J52" s="3" t="s">
        <v>190</v>
      </c>
      <c r="K52" s="3" t="s">
        <v>254</v>
      </c>
    </row>
    <row r="53" spans="1:11" x14ac:dyDescent="0.25">
      <c r="A53" s="3" t="s">
        <v>30</v>
      </c>
      <c r="B53" s="1" t="s">
        <v>192</v>
      </c>
      <c r="C53" s="1" t="s">
        <v>193</v>
      </c>
      <c r="D53" s="3" t="s">
        <v>299</v>
      </c>
      <c r="E53" s="3" t="s">
        <v>18</v>
      </c>
      <c r="F53" s="3" t="s">
        <v>195</v>
      </c>
      <c r="G53" s="3" t="s">
        <v>18</v>
      </c>
      <c r="H53" s="3" t="s">
        <v>18</v>
      </c>
      <c r="I53" s="3" t="s">
        <v>195</v>
      </c>
      <c r="J53" s="3" t="s">
        <v>194</v>
      </c>
    </row>
    <row r="54" spans="1:11" x14ac:dyDescent="0.25">
      <c r="A54" s="3" t="s">
        <v>30</v>
      </c>
      <c r="B54" s="1" t="s">
        <v>196</v>
      </c>
      <c r="C54" s="1" t="s">
        <v>197</v>
      </c>
      <c r="D54" s="3" t="s">
        <v>300</v>
      </c>
      <c r="E54" s="3" t="s">
        <v>18</v>
      </c>
      <c r="F54" s="3" t="s">
        <v>199</v>
      </c>
      <c r="G54" s="3" t="s">
        <v>18</v>
      </c>
      <c r="H54" s="3" t="s">
        <v>18</v>
      </c>
      <c r="I54" s="3" t="s">
        <v>199</v>
      </c>
      <c r="J54" s="3" t="s">
        <v>198</v>
      </c>
    </row>
    <row r="56" spans="1:11" x14ac:dyDescent="0.25">
      <c r="A56" s="6" t="s">
        <v>200</v>
      </c>
      <c r="B56" s="1" t="s">
        <v>201</v>
      </c>
      <c r="C56" s="1" t="s">
        <v>202</v>
      </c>
      <c r="D56" s="5" t="s">
        <v>301</v>
      </c>
      <c r="E56" s="3" t="s">
        <v>117</v>
      </c>
      <c r="F56" s="3" t="s">
        <v>363</v>
      </c>
      <c r="H56" s="3">
        <v>454</v>
      </c>
      <c r="J56" s="3" t="s">
        <v>205</v>
      </c>
    </row>
    <row r="57" spans="1:11" x14ac:dyDescent="0.25">
      <c r="A57" s="3" t="s">
        <v>30</v>
      </c>
      <c r="B57" s="1" t="s">
        <v>203</v>
      </c>
      <c r="C57" s="1" t="s">
        <v>204</v>
      </c>
      <c r="D57" s="5" t="s">
        <v>302</v>
      </c>
      <c r="E57" s="3" t="s">
        <v>117</v>
      </c>
      <c r="F57" s="3" t="s">
        <v>362</v>
      </c>
      <c r="H57" s="3" t="s">
        <v>18</v>
      </c>
      <c r="J57" s="3" t="s">
        <v>205</v>
      </c>
    </row>
    <row r="59" spans="1:11" x14ac:dyDescent="0.25">
      <c r="A59" s="6" t="s">
        <v>206</v>
      </c>
      <c r="B59" s="1" t="s">
        <v>207</v>
      </c>
      <c r="C59" s="1" t="s">
        <v>208</v>
      </c>
      <c r="D59" s="3" t="s">
        <v>303</v>
      </c>
      <c r="E59" s="3" t="s">
        <v>92</v>
      </c>
      <c r="F59" s="3" t="s">
        <v>211</v>
      </c>
      <c r="G59" s="3" t="s">
        <v>209</v>
      </c>
      <c r="H59" s="3">
        <v>454</v>
      </c>
      <c r="I59" s="3" t="s">
        <v>211</v>
      </c>
      <c r="J59" s="3" t="s">
        <v>210</v>
      </c>
    </row>
    <row r="60" spans="1:11" x14ac:dyDescent="0.25">
      <c r="A60" s="3" t="s">
        <v>30</v>
      </c>
      <c r="B60" s="1" t="s">
        <v>212</v>
      </c>
      <c r="C60" s="1" t="s">
        <v>213</v>
      </c>
      <c r="D60" s="3" t="s">
        <v>304</v>
      </c>
      <c r="E60" s="3" t="s">
        <v>18</v>
      </c>
      <c r="F60" s="3" t="s">
        <v>215</v>
      </c>
      <c r="G60" s="3" t="s">
        <v>18</v>
      </c>
      <c r="H60" s="3" t="s">
        <v>18</v>
      </c>
      <c r="I60" s="3" t="s">
        <v>215</v>
      </c>
      <c r="J60" s="3" t="s">
        <v>214</v>
      </c>
    </row>
    <row r="61" spans="1:11" x14ac:dyDescent="0.25">
      <c r="A61" s="3" t="s">
        <v>30</v>
      </c>
      <c r="B61" s="1" t="s">
        <v>216</v>
      </c>
      <c r="C61" s="1" t="s">
        <v>217</v>
      </c>
      <c r="D61" s="3" t="s">
        <v>305</v>
      </c>
      <c r="E61" s="3" t="s">
        <v>92</v>
      </c>
      <c r="F61" s="3" t="s">
        <v>219</v>
      </c>
      <c r="G61" s="3" t="s">
        <v>218</v>
      </c>
      <c r="H61" s="3" t="s">
        <v>18</v>
      </c>
      <c r="I61" s="3" t="s">
        <v>219</v>
      </c>
      <c r="J61" s="3" t="s">
        <v>220</v>
      </c>
    </row>
    <row r="62" spans="1:11" x14ac:dyDescent="0.25">
      <c r="A62" s="3" t="s">
        <v>30</v>
      </c>
      <c r="B62" s="1" t="s">
        <v>221</v>
      </c>
      <c r="C62" s="1" t="s">
        <v>222</v>
      </c>
      <c r="D62" s="3" t="s">
        <v>306</v>
      </c>
      <c r="E62" s="3" t="s">
        <v>92</v>
      </c>
      <c r="F62" s="3" t="s">
        <v>224</v>
      </c>
      <c r="G62" s="3" t="s">
        <v>223</v>
      </c>
      <c r="H62" s="3" t="s">
        <v>18</v>
      </c>
      <c r="I62" s="3" t="s">
        <v>224</v>
      </c>
      <c r="J62" s="3" t="s">
        <v>225</v>
      </c>
    </row>
    <row r="64" spans="1:11" x14ac:dyDescent="0.25">
      <c r="A64" s="6" t="s">
        <v>226</v>
      </c>
      <c r="B64" s="1" t="s">
        <v>227</v>
      </c>
      <c r="C64" s="1" t="s">
        <v>228</v>
      </c>
      <c r="D64" s="3" t="s">
        <v>307</v>
      </c>
      <c r="E64" s="3" t="s">
        <v>231</v>
      </c>
      <c r="G64" s="3" t="s">
        <v>230</v>
      </c>
      <c r="H64" s="3" t="s">
        <v>130</v>
      </c>
      <c r="I64" s="3" t="s">
        <v>229</v>
      </c>
      <c r="J64" s="3" t="s">
        <v>232</v>
      </c>
    </row>
    <row r="65" spans="1:10" x14ac:dyDescent="0.25">
      <c r="A65" s="3" t="s">
        <v>30</v>
      </c>
      <c r="B65" s="1" t="s">
        <v>233</v>
      </c>
      <c r="C65" s="1" t="s">
        <v>234</v>
      </c>
      <c r="D65" s="3" t="s">
        <v>308</v>
      </c>
      <c r="E65" s="3" t="s">
        <v>66</v>
      </c>
      <c r="G65" s="3" t="s">
        <v>18</v>
      </c>
      <c r="H65" s="3" t="s">
        <v>18</v>
      </c>
      <c r="I65" s="3" t="s">
        <v>235</v>
      </c>
      <c r="J65" s="3" t="s">
        <v>232</v>
      </c>
    </row>
    <row r="67" spans="1:10" x14ac:dyDescent="0.25">
      <c r="A67" s="6" t="s">
        <v>236</v>
      </c>
      <c r="B67" s="1" t="s">
        <v>237</v>
      </c>
      <c r="C67" s="1" t="s">
        <v>238</v>
      </c>
      <c r="D67" s="3" t="s">
        <v>309</v>
      </c>
      <c r="E67" s="3" t="s">
        <v>181</v>
      </c>
      <c r="F67" s="3" t="s">
        <v>248</v>
      </c>
      <c r="G67" s="3" t="s">
        <v>244</v>
      </c>
      <c r="H67" s="3">
        <v>454</v>
      </c>
      <c r="I67" s="3" t="s">
        <v>240</v>
      </c>
      <c r="J67" s="3" t="s">
        <v>239</v>
      </c>
    </row>
    <row r="68" spans="1:10" x14ac:dyDescent="0.25">
      <c r="A68" s="3" t="s">
        <v>30</v>
      </c>
      <c r="B68" s="1" t="s">
        <v>241</v>
      </c>
      <c r="C68" s="1" t="s">
        <v>242</v>
      </c>
      <c r="D68" s="3" t="s">
        <v>310</v>
      </c>
      <c r="E68" s="3" t="s">
        <v>18</v>
      </c>
      <c r="F68" s="3" t="s">
        <v>252</v>
      </c>
      <c r="G68" s="3" t="s">
        <v>18</v>
      </c>
      <c r="H68" s="3" t="s">
        <v>18</v>
      </c>
      <c r="I68" s="3" t="s">
        <v>245</v>
      </c>
      <c r="J68" s="3" t="s">
        <v>243</v>
      </c>
    </row>
    <row r="70" spans="1:10" x14ac:dyDescent="0.25">
      <c r="A70" s="3" t="s">
        <v>30</v>
      </c>
      <c r="B70" s="1" t="s">
        <v>246</v>
      </c>
      <c r="C70" s="1" t="s">
        <v>247</v>
      </c>
      <c r="D70" s="3" t="s">
        <v>311</v>
      </c>
      <c r="E70" s="3" t="s">
        <v>231</v>
      </c>
      <c r="F70" s="3" t="s">
        <v>361</v>
      </c>
      <c r="H70" s="3">
        <v>454</v>
      </c>
      <c r="I70" s="3" t="s">
        <v>249</v>
      </c>
      <c r="J70" s="3" t="s">
        <v>248</v>
      </c>
    </row>
    <row r="71" spans="1:10" x14ac:dyDescent="0.25">
      <c r="A71" s="3" t="s">
        <v>30</v>
      </c>
      <c r="B71" s="1" t="s">
        <v>250</v>
      </c>
      <c r="C71" s="1" t="s">
        <v>251</v>
      </c>
      <c r="D71" s="3" t="s">
        <v>312</v>
      </c>
      <c r="E71" s="3" t="s">
        <v>18</v>
      </c>
      <c r="F71" s="3" t="s">
        <v>360</v>
      </c>
      <c r="H71" s="3" t="s">
        <v>18</v>
      </c>
      <c r="I71" s="3" t="s">
        <v>253</v>
      </c>
      <c r="J71" s="3" t="s">
        <v>252</v>
      </c>
    </row>
  </sheetData>
  <sortState ref="A10:M30">
    <sortCondition ref="I10:I30" customList="1,2,3,4,5,6,7,8,9,10,11,12,13,14,15,16,17,18,19,20"/>
  </sortState>
  <hyperlinks>
    <hyperlink ref="K25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6"/>
  <sheetViews>
    <sheetView zoomScale="60" zoomScaleNormal="60" workbookViewId="0">
      <selection activeCell="D42" sqref="D42"/>
    </sheetView>
  </sheetViews>
  <sheetFormatPr defaultColWidth="9.140625" defaultRowHeight="14.25" x14ac:dyDescent="0.2"/>
  <cols>
    <col min="1" max="1" width="18.28515625" style="30" bestFit="1" customWidth="1"/>
    <col min="2" max="2" width="18.7109375" style="30" customWidth="1"/>
    <col min="3" max="3" width="15.140625" style="30" customWidth="1"/>
    <col min="4" max="4" width="15.140625" style="31" customWidth="1"/>
    <col min="5" max="5" width="15.7109375" style="23" customWidth="1"/>
    <col min="6" max="6" width="15.85546875" style="23" customWidth="1"/>
    <col min="7" max="7" width="16.42578125" style="24" customWidth="1"/>
    <col min="8" max="8" width="12.85546875" style="23" customWidth="1"/>
    <col min="9" max="9" width="14.28515625" style="23" customWidth="1"/>
    <col min="10" max="10" width="14.5703125" style="24" customWidth="1"/>
    <col min="11" max="11" width="15.7109375" style="23" customWidth="1"/>
    <col min="12" max="12" width="15.85546875" style="23" customWidth="1"/>
    <col min="13" max="13" width="16.42578125" style="24" customWidth="1"/>
    <col min="14" max="14" width="14.5703125" style="25" customWidth="1"/>
    <col min="15" max="15" width="16.42578125" style="25" customWidth="1"/>
    <col min="16" max="16" width="16.85546875" style="26" customWidth="1"/>
    <col min="17" max="17" width="14.85546875" style="30" customWidth="1"/>
    <col min="18" max="18" width="12.85546875" style="30" customWidth="1"/>
    <col min="19" max="19" width="32" style="34" bestFit="1" customWidth="1"/>
    <col min="20" max="16384" width="9.140625" style="30"/>
  </cols>
  <sheetData>
    <row r="1" spans="1:19" ht="17.25" thickBot="1" x14ac:dyDescent="0.25">
      <c r="A1" s="2" t="s">
        <v>6</v>
      </c>
      <c r="B1" s="2" t="s">
        <v>0</v>
      </c>
      <c r="C1" s="2" t="s">
        <v>1</v>
      </c>
      <c r="D1" s="9"/>
      <c r="E1" s="39" t="s">
        <v>348</v>
      </c>
      <c r="F1" s="39"/>
      <c r="G1" s="39"/>
      <c r="H1" s="39" t="s">
        <v>327</v>
      </c>
      <c r="I1" s="39"/>
      <c r="J1" s="39"/>
      <c r="K1" s="40" t="s">
        <v>349</v>
      </c>
      <c r="L1" s="40"/>
      <c r="M1" s="40"/>
      <c r="N1" s="41" t="s">
        <v>333</v>
      </c>
      <c r="O1" s="41"/>
      <c r="P1" s="41"/>
      <c r="Q1" s="41"/>
      <c r="R1" s="41"/>
    </row>
    <row r="2" spans="1:19" ht="16.5" thickTop="1" thickBot="1" x14ac:dyDescent="0.3">
      <c r="E2" s="16" t="s">
        <v>331</v>
      </c>
      <c r="F2" s="17" t="s">
        <v>332</v>
      </c>
      <c r="G2" s="18" t="s">
        <v>326</v>
      </c>
      <c r="H2" s="17" t="s">
        <v>329</v>
      </c>
      <c r="I2" s="17" t="s">
        <v>330</v>
      </c>
      <c r="J2" s="19" t="s">
        <v>328</v>
      </c>
      <c r="K2" s="17" t="s">
        <v>331</v>
      </c>
      <c r="L2" s="17" t="s">
        <v>332</v>
      </c>
      <c r="M2" s="18" t="s">
        <v>326</v>
      </c>
      <c r="N2" s="20" t="s">
        <v>335</v>
      </c>
      <c r="O2" s="21" t="s">
        <v>336</v>
      </c>
      <c r="P2" s="22" t="s">
        <v>337</v>
      </c>
      <c r="Q2" s="32" t="s">
        <v>338</v>
      </c>
      <c r="R2" s="32" t="s">
        <v>339</v>
      </c>
      <c r="S2" s="35" t="s">
        <v>347</v>
      </c>
    </row>
    <row r="3" spans="1:19" ht="15" x14ac:dyDescent="0.2">
      <c r="A3" s="6" t="s">
        <v>7</v>
      </c>
      <c r="B3" s="1" t="s">
        <v>38</v>
      </c>
      <c r="C3" s="1" t="s">
        <v>39</v>
      </c>
      <c r="D3" s="12" t="s">
        <v>262</v>
      </c>
      <c r="E3" s="23">
        <v>56261281</v>
      </c>
      <c r="F3" s="23">
        <v>54585736</v>
      </c>
      <c r="G3" s="24">
        <f t="shared" ref="G3:G9" si="0">F3/E3</f>
        <v>0.97021850604503657</v>
      </c>
      <c r="H3" s="23">
        <v>111703</v>
      </c>
      <c r="I3" s="23">
        <v>105080</v>
      </c>
      <c r="J3" s="24">
        <f t="shared" ref="J3:J9" si="1">I3/H3</f>
        <v>0.94070884398807553</v>
      </c>
      <c r="K3" s="23">
        <v>33037710</v>
      </c>
      <c r="L3" s="23">
        <v>31435365</v>
      </c>
      <c r="M3" s="24">
        <f t="shared" ref="M3:M9" si="2">L3/K3</f>
        <v>0.95149951373748365</v>
      </c>
      <c r="N3" s="30">
        <v>81879</v>
      </c>
      <c r="O3" s="30">
        <v>2422</v>
      </c>
      <c r="P3" s="30">
        <v>16530</v>
      </c>
      <c r="Q3" s="30">
        <v>5553</v>
      </c>
      <c r="R3" s="30">
        <v>491</v>
      </c>
      <c r="S3" s="34">
        <f>N3/(O3+P3+Q3+N3+R3)</f>
        <v>0.76611929824561409</v>
      </c>
    </row>
    <row r="4" spans="1:19" ht="15" x14ac:dyDescent="0.2">
      <c r="A4" s="3" t="s">
        <v>30</v>
      </c>
      <c r="B4" s="1" t="s">
        <v>34</v>
      </c>
      <c r="C4" s="1" t="s">
        <v>35</v>
      </c>
      <c r="D4" s="12" t="s">
        <v>261</v>
      </c>
      <c r="E4" s="23">
        <v>192887025</v>
      </c>
      <c r="F4" s="23">
        <v>187277595</v>
      </c>
      <c r="G4" s="24">
        <f t="shared" si="0"/>
        <v>0.97091857267226767</v>
      </c>
      <c r="H4" s="23">
        <v>373962</v>
      </c>
      <c r="I4" s="23">
        <v>350099</v>
      </c>
      <c r="J4" s="24">
        <f t="shared" si="1"/>
        <v>0.93618870366507823</v>
      </c>
      <c r="K4" s="23">
        <v>110358110</v>
      </c>
      <c r="L4" s="23">
        <v>105005513</v>
      </c>
      <c r="M4" s="24">
        <f t="shared" si="2"/>
        <v>0.95149792797285127</v>
      </c>
      <c r="N4" s="30">
        <v>83176</v>
      </c>
      <c r="O4" s="30">
        <v>1555</v>
      </c>
      <c r="P4" s="30">
        <v>17680</v>
      </c>
      <c r="Q4" s="30">
        <v>4961</v>
      </c>
      <c r="R4" s="30">
        <v>565</v>
      </c>
      <c r="S4" s="34">
        <f t="shared" ref="S4:S9" si="3">N4/(O4+P4+Q4+N4+R4)</f>
        <v>0.77059766345182834</v>
      </c>
    </row>
    <row r="5" spans="1:19" ht="15" x14ac:dyDescent="0.2">
      <c r="A5" s="3" t="s">
        <v>30</v>
      </c>
      <c r="B5" s="1" t="s">
        <v>28</v>
      </c>
      <c r="C5" s="1" t="s">
        <v>29</v>
      </c>
      <c r="D5" s="13" t="s">
        <v>260</v>
      </c>
      <c r="E5" s="23">
        <v>102587005</v>
      </c>
      <c r="F5" s="23">
        <v>99574075</v>
      </c>
      <c r="G5" s="24">
        <f t="shared" si="0"/>
        <v>0.9706304906747204</v>
      </c>
      <c r="H5" s="23">
        <v>200862</v>
      </c>
      <c r="I5" s="23">
        <v>187731</v>
      </c>
      <c r="J5" s="24">
        <f t="shared" si="1"/>
        <v>0.93462675867013179</v>
      </c>
      <c r="K5" s="23">
        <v>59163322</v>
      </c>
      <c r="L5" s="23">
        <v>56293850</v>
      </c>
      <c r="M5" s="24">
        <f t="shared" si="2"/>
        <v>0.95149913995701596</v>
      </c>
      <c r="N5" s="30">
        <v>142444</v>
      </c>
      <c r="O5" s="30">
        <v>8510</v>
      </c>
      <c r="P5" s="30">
        <v>29404</v>
      </c>
      <c r="Q5" s="30">
        <v>10007</v>
      </c>
      <c r="R5" s="30">
        <v>854</v>
      </c>
      <c r="S5" s="34">
        <f t="shared" si="3"/>
        <v>0.7449259749292696</v>
      </c>
    </row>
    <row r="6" spans="1:19" ht="15" x14ac:dyDescent="0.2">
      <c r="A6" s="3" t="s">
        <v>30</v>
      </c>
      <c r="B6" s="1" t="s">
        <v>25</v>
      </c>
      <c r="C6" s="1" t="s">
        <v>26</v>
      </c>
      <c r="D6" s="12" t="s">
        <v>259</v>
      </c>
      <c r="E6" s="23">
        <v>158622543</v>
      </c>
      <c r="F6" s="23">
        <v>154088748</v>
      </c>
      <c r="G6" s="24">
        <f t="shared" si="0"/>
        <v>0.97141771330699189</v>
      </c>
      <c r="H6" s="23">
        <v>302253</v>
      </c>
      <c r="I6" s="23">
        <v>283726</v>
      </c>
      <c r="J6" s="24">
        <f t="shared" si="1"/>
        <v>0.93870366878078959</v>
      </c>
      <c r="K6" s="23">
        <v>88554578</v>
      </c>
      <c r="L6" s="23">
        <v>84260918</v>
      </c>
      <c r="M6" s="24">
        <f t="shared" si="2"/>
        <v>0.95151396915922293</v>
      </c>
      <c r="N6" s="30">
        <v>224215</v>
      </c>
      <c r="O6" s="30">
        <v>7945</v>
      </c>
      <c r="P6" s="30">
        <v>41231</v>
      </c>
      <c r="Q6" s="30">
        <v>12568</v>
      </c>
      <c r="R6" s="30">
        <v>1302</v>
      </c>
      <c r="S6" s="34">
        <f t="shared" si="3"/>
        <v>0.78052711645507045</v>
      </c>
    </row>
    <row r="7" spans="1:19" ht="15" x14ac:dyDescent="0.2">
      <c r="A7" s="3" t="s">
        <v>30</v>
      </c>
      <c r="B7" s="1" t="s">
        <v>22</v>
      </c>
      <c r="C7" s="1" t="s">
        <v>21</v>
      </c>
      <c r="D7" s="12" t="s">
        <v>258</v>
      </c>
      <c r="E7" s="23">
        <v>52450902</v>
      </c>
      <c r="F7" s="23">
        <v>50917152</v>
      </c>
      <c r="G7" s="24">
        <f t="shared" si="0"/>
        <v>0.97075836751101063</v>
      </c>
      <c r="H7" s="23">
        <v>102250</v>
      </c>
      <c r="I7" s="23">
        <v>96189</v>
      </c>
      <c r="J7" s="24">
        <f t="shared" si="1"/>
        <v>0.94072371638141805</v>
      </c>
      <c r="K7" s="23">
        <v>30429538</v>
      </c>
      <c r="L7" s="23">
        <v>28953454</v>
      </c>
      <c r="M7" s="24">
        <f t="shared" si="2"/>
        <v>0.95149173806056475</v>
      </c>
      <c r="N7" s="30">
        <v>73658</v>
      </c>
      <c r="O7" s="30">
        <v>1109</v>
      </c>
      <c r="P7" s="30">
        <v>18258</v>
      </c>
      <c r="Q7" s="30">
        <v>4088</v>
      </c>
      <c r="R7" s="30">
        <v>635</v>
      </c>
      <c r="S7" s="34">
        <f t="shared" si="3"/>
        <v>0.75354994475590298</v>
      </c>
    </row>
    <row r="8" spans="1:19" ht="15" x14ac:dyDescent="0.2">
      <c r="B8" s="1" t="s">
        <v>8</v>
      </c>
      <c r="C8" s="1" t="s">
        <v>9</v>
      </c>
      <c r="D8" s="12" t="s">
        <v>256</v>
      </c>
      <c r="E8" s="23">
        <v>379854749</v>
      </c>
      <c r="F8" s="23">
        <v>369568979</v>
      </c>
      <c r="G8" s="24">
        <f t="shared" si="0"/>
        <v>0.97292183386655517</v>
      </c>
      <c r="H8" s="23">
        <v>705151</v>
      </c>
      <c r="I8" s="23">
        <v>605513</v>
      </c>
      <c r="J8" s="24">
        <f t="shared" si="1"/>
        <v>0.8586997678511411</v>
      </c>
      <c r="K8" s="23">
        <v>226031366</v>
      </c>
      <c r="L8" s="23">
        <v>215016909</v>
      </c>
      <c r="M8" s="24">
        <f t="shared" si="2"/>
        <v>0.95127022769043479</v>
      </c>
      <c r="N8" s="30">
        <v>485369</v>
      </c>
      <c r="O8" s="30">
        <v>31958</v>
      </c>
      <c r="P8" s="30">
        <v>84643</v>
      </c>
      <c r="Q8" s="30">
        <v>40920</v>
      </c>
      <c r="R8" s="30">
        <v>4224</v>
      </c>
      <c r="S8" s="34">
        <f t="shared" si="3"/>
        <v>0.75005176831284748</v>
      </c>
    </row>
    <row r="9" spans="1:19" ht="15" x14ac:dyDescent="0.2">
      <c r="A9" s="3" t="s">
        <v>30</v>
      </c>
      <c r="B9" s="1" t="s">
        <v>14</v>
      </c>
      <c r="C9" s="1" t="s">
        <v>15</v>
      </c>
      <c r="D9" s="10" t="s">
        <v>257</v>
      </c>
      <c r="E9" s="23">
        <v>397551474</v>
      </c>
      <c r="F9" s="23">
        <v>387215750</v>
      </c>
      <c r="G9" s="24">
        <f t="shared" si="0"/>
        <v>0.97400154526907878</v>
      </c>
      <c r="H9" s="23">
        <v>738266</v>
      </c>
      <c r="I9" s="23">
        <v>638920</v>
      </c>
      <c r="J9" s="24">
        <f t="shared" si="1"/>
        <v>0.86543332619949986</v>
      </c>
      <c r="K9" s="23">
        <v>246670953</v>
      </c>
      <c r="L9" s="23">
        <v>234640553</v>
      </c>
      <c r="M9" s="24">
        <f t="shared" si="2"/>
        <v>0.95122895560386467</v>
      </c>
      <c r="N9" s="30">
        <v>468465</v>
      </c>
      <c r="O9" s="30">
        <v>16776</v>
      </c>
      <c r="P9" s="30">
        <v>80117</v>
      </c>
      <c r="Q9" s="30">
        <v>44101</v>
      </c>
      <c r="R9" s="30">
        <v>3818</v>
      </c>
      <c r="S9" s="34">
        <f t="shared" si="3"/>
        <v>0.76387179039813979</v>
      </c>
    </row>
    <row r="10" spans="1:19" ht="15" x14ac:dyDescent="0.2">
      <c r="A10" s="3"/>
      <c r="B10" s="3"/>
      <c r="C10" s="3"/>
      <c r="D10" s="11"/>
    </row>
    <row r="11" spans="1:19" ht="15" x14ac:dyDescent="0.2">
      <c r="A11" s="6" t="s">
        <v>42</v>
      </c>
      <c r="B11" s="1" t="s">
        <v>53</v>
      </c>
      <c r="C11" s="1" t="s">
        <v>54</v>
      </c>
      <c r="D11" s="10" t="s">
        <v>266</v>
      </c>
      <c r="E11" s="23">
        <v>165153130</v>
      </c>
      <c r="F11" s="23">
        <v>163221310</v>
      </c>
      <c r="G11" s="24">
        <f>F11/E11</f>
        <v>0.98830285565886644</v>
      </c>
      <c r="H11" s="23">
        <v>482955</v>
      </c>
      <c r="I11" s="23">
        <v>404434</v>
      </c>
      <c r="J11" s="24">
        <f>I11/H11</f>
        <v>0.83741549419718198</v>
      </c>
      <c r="K11" s="23">
        <v>113877684</v>
      </c>
      <c r="L11" s="23">
        <v>108375057</v>
      </c>
      <c r="M11" s="24">
        <f>L11/K11</f>
        <v>0.95167949674845864</v>
      </c>
      <c r="N11" s="30">
        <v>42955</v>
      </c>
      <c r="O11" s="30">
        <v>2496</v>
      </c>
      <c r="P11" s="30">
        <v>16996</v>
      </c>
      <c r="Q11" s="30">
        <v>5940</v>
      </c>
      <c r="R11" s="30">
        <v>212</v>
      </c>
      <c r="S11" s="34">
        <f>N11/(O11+P11+Q11+N11+R11)</f>
        <v>0.62617530867796911</v>
      </c>
    </row>
    <row r="12" spans="1:19" ht="15" x14ac:dyDescent="0.2">
      <c r="A12" s="3" t="s">
        <v>30</v>
      </c>
      <c r="B12" s="1" t="s">
        <v>49</v>
      </c>
      <c r="C12" s="1" t="s">
        <v>50</v>
      </c>
      <c r="D12" s="10" t="s">
        <v>265</v>
      </c>
      <c r="E12" s="23">
        <v>137298139</v>
      </c>
      <c r="F12" s="23">
        <v>135743551</v>
      </c>
      <c r="G12" s="24">
        <f t="shared" ref="G12:G31" si="4">F12/E12</f>
        <v>0.98867728279987832</v>
      </c>
      <c r="H12" s="23">
        <v>388647</v>
      </c>
      <c r="I12" s="23">
        <v>318544</v>
      </c>
      <c r="J12" s="24">
        <f t="shared" ref="J12:J31" si="5">I12/H12</f>
        <v>0.8196229483310048</v>
      </c>
      <c r="K12" s="23">
        <v>90916229</v>
      </c>
      <c r="L12" s="23">
        <v>86520794</v>
      </c>
      <c r="M12" s="24">
        <f t="shared" ref="M12:M31" si="6">L12/K12</f>
        <v>0.95165401107870407</v>
      </c>
      <c r="N12" s="30">
        <v>230281</v>
      </c>
      <c r="O12" s="30">
        <v>9432</v>
      </c>
      <c r="P12" s="30">
        <v>61086</v>
      </c>
      <c r="Q12" s="30">
        <v>20090</v>
      </c>
      <c r="R12" s="30">
        <v>1622</v>
      </c>
      <c r="S12" s="34">
        <f t="shared" ref="S12:S31" si="7">N12/(O12+P12+Q12+N12+R12)</f>
        <v>0.71402525805321371</v>
      </c>
    </row>
    <row r="13" spans="1:19" ht="15" x14ac:dyDescent="0.2">
      <c r="A13" s="3" t="s">
        <v>30</v>
      </c>
      <c r="B13" s="1" t="s">
        <v>46</v>
      </c>
      <c r="C13" s="1" t="s">
        <v>47</v>
      </c>
      <c r="D13" s="10" t="s">
        <v>264</v>
      </c>
      <c r="E13" s="23">
        <v>209052550</v>
      </c>
      <c r="F13" s="23">
        <v>201825929</v>
      </c>
      <c r="G13" s="24">
        <f t="shared" si="4"/>
        <v>0.96543155775904188</v>
      </c>
      <c r="H13" s="23">
        <v>337127</v>
      </c>
      <c r="I13" s="23">
        <v>274240</v>
      </c>
      <c r="J13" s="24">
        <f t="shared" si="5"/>
        <v>0.81346198910202983</v>
      </c>
      <c r="K13" s="23">
        <v>63814695</v>
      </c>
      <c r="L13" s="23">
        <v>60753093</v>
      </c>
      <c r="M13" s="24">
        <f t="shared" si="6"/>
        <v>0.952023558210221</v>
      </c>
      <c r="N13" s="30">
        <v>183981</v>
      </c>
      <c r="O13" s="30">
        <v>16215</v>
      </c>
      <c r="P13" s="30">
        <v>50804</v>
      </c>
      <c r="Q13" s="30">
        <v>26008</v>
      </c>
      <c r="R13" s="30">
        <v>1237</v>
      </c>
      <c r="S13" s="34">
        <f t="shared" si="7"/>
        <v>0.66121942892055563</v>
      </c>
    </row>
    <row r="14" spans="1:19" ht="15" x14ac:dyDescent="0.2">
      <c r="A14" s="3" t="s">
        <v>30</v>
      </c>
      <c r="B14" s="1" t="s">
        <v>43</v>
      </c>
      <c r="C14" s="1" t="s">
        <v>44</v>
      </c>
      <c r="D14" s="10" t="s">
        <v>263</v>
      </c>
      <c r="E14" s="23">
        <v>245282702</v>
      </c>
      <c r="F14" s="23">
        <v>237561391</v>
      </c>
      <c r="G14" s="24">
        <f t="shared" si="4"/>
        <v>0.96852076833367562</v>
      </c>
      <c r="H14" s="23">
        <v>390952</v>
      </c>
      <c r="I14" s="23">
        <v>315106</v>
      </c>
      <c r="J14" s="24">
        <f t="shared" si="5"/>
        <v>0.80599664408929994</v>
      </c>
      <c r="K14" s="23">
        <v>73821664</v>
      </c>
      <c r="L14" s="23">
        <v>70279162</v>
      </c>
      <c r="M14" s="24">
        <f t="shared" si="6"/>
        <v>0.95201270456325671</v>
      </c>
      <c r="N14" s="30">
        <v>218816</v>
      </c>
      <c r="O14" s="30">
        <v>17618</v>
      </c>
      <c r="P14" s="30">
        <v>54182</v>
      </c>
      <c r="Q14" s="30">
        <v>26052</v>
      </c>
      <c r="R14" s="30">
        <v>1296</v>
      </c>
      <c r="S14" s="34">
        <f t="shared" si="7"/>
        <v>0.68817853593488576</v>
      </c>
    </row>
    <row r="15" spans="1:19" ht="15" x14ac:dyDescent="0.2">
      <c r="A15" s="3" t="s">
        <v>30</v>
      </c>
      <c r="B15" s="1" t="s">
        <v>126</v>
      </c>
      <c r="C15" s="1" t="s">
        <v>127</v>
      </c>
      <c r="D15" s="10" t="s">
        <v>283</v>
      </c>
      <c r="E15" s="23">
        <v>242283019</v>
      </c>
      <c r="F15" s="23">
        <v>233007447</v>
      </c>
      <c r="G15" s="24">
        <f t="shared" si="4"/>
        <v>0.96171596326360786</v>
      </c>
      <c r="H15" s="23">
        <v>381198</v>
      </c>
      <c r="I15" s="23">
        <v>302472</v>
      </c>
      <c r="J15" s="24">
        <f t="shared" si="5"/>
        <v>0.79347740544284073</v>
      </c>
      <c r="K15" s="23">
        <v>68787946</v>
      </c>
      <c r="L15" s="23">
        <v>65490726</v>
      </c>
      <c r="M15" s="24">
        <f t="shared" si="6"/>
        <v>0.95206689265005817</v>
      </c>
      <c r="N15" s="30">
        <v>197629</v>
      </c>
      <c r="O15" s="30">
        <v>17029</v>
      </c>
      <c r="P15" s="30">
        <v>54791</v>
      </c>
      <c r="Q15" s="30">
        <v>34712</v>
      </c>
      <c r="R15" s="30">
        <v>1217</v>
      </c>
      <c r="S15" s="34">
        <f t="shared" si="7"/>
        <v>0.64716187806587244</v>
      </c>
    </row>
    <row r="16" spans="1:19" ht="15" x14ac:dyDescent="0.2">
      <c r="A16" s="3" t="s">
        <v>30</v>
      </c>
      <c r="B16" s="1" t="s">
        <v>123</v>
      </c>
      <c r="C16" s="1" t="s">
        <v>124</v>
      </c>
      <c r="D16" s="10" t="s">
        <v>282</v>
      </c>
      <c r="E16" s="23">
        <v>306430639</v>
      </c>
      <c r="F16" s="23">
        <v>299520008</v>
      </c>
      <c r="G16" s="24">
        <f t="shared" si="4"/>
        <v>0.9774479764081293</v>
      </c>
      <c r="H16" s="23">
        <v>547892</v>
      </c>
      <c r="I16" s="23">
        <v>459981</v>
      </c>
      <c r="J16" s="24">
        <f t="shared" si="5"/>
        <v>0.8395468449986494</v>
      </c>
      <c r="K16" s="23">
        <v>172841331</v>
      </c>
      <c r="L16" s="23">
        <v>164415995</v>
      </c>
      <c r="M16" s="24">
        <f t="shared" si="6"/>
        <v>0.95125392780040552</v>
      </c>
      <c r="N16" s="30">
        <v>358075</v>
      </c>
      <c r="O16" s="30">
        <v>24913</v>
      </c>
      <c r="P16" s="30">
        <v>59856</v>
      </c>
      <c r="Q16" s="30">
        <v>19085</v>
      </c>
      <c r="R16" s="30">
        <v>3226</v>
      </c>
      <c r="S16" s="34">
        <f t="shared" si="7"/>
        <v>0.76979716438606482</v>
      </c>
    </row>
    <row r="17" spans="1:19" ht="15" x14ac:dyDescent="0.2">
      <c r="A17" s="3" t="s">
        <v>30</v>
      </c>
      <c r="B17" s="1" t="s">
        <v>119</v>
      </c>
      <c r="C17" s="1" t="s">
        <v>120</v>
      </c>
      <c r="D17" s="10" t="s">
        <v>281</v>
      </c>
      <c r="E17" s="23">
        <v>325685718</v>
      </c>
      <c r="F17" s="23">
        <v>311931423</v>
      </c>
      <c r="G17" s="24">
        <f t="shared" si="4"/>
        <v>0.95776819725327966</v>
      </c>
      <c r="H17" s="23">
        <v>578150</v>
      </c>
      <c r="I17" s="23">
        <v>466528</v>
      </c>
      <c r="J17" s="24">
        <f t="shared" si="5"/>
        <v>0.80693245697483351</v>
      </c>
      <c r="K17" s="23">
        <v>140458840</v>
      </c>
      <c r="L17" s="23">
        <v>133656129</v>
      </c>
      <c r="M17" s="24">
        <f t="shared" si="6"/>
        <v>0.95156793976085807</v>
      </c>
      <c r="N17" s="30">
        <v>36787</v>
      </c>
      <c r="O17" s="30">
        <v>5671</v>
      </c>
      <c r="P17" s="30">
        <v>11826</v>
      </c>
      <c r="Q17" s="30">
        <v>7791</v>
      </c>
      <c r="R17" s="30">
        <v>279</v>
      </c>
      <c r="S17" s="34">
        <f t="shared" si="7"/>
        <v>0.58997017031786247</v>
      </c>
    </row>
    <row r="18" spans="1:19" ht="15" x14ac:dyDescent="0.2">
      <c r="A18" s="3" t="s">
        <v>30</v>
      </c>
      <c r="B18" s="1" t="s">
        <v>114</v>
      </c>
      <c r="C18" s="1" t="s">
        <v>115</v>
      </c>
      <c r="D18" s="10" t="s">
        <v>280</v>
      </c>
      <c r="E18" s="23">
        <v>366738916</v>
      </c>
      <c r="F18" s="23">
        <v>352674030</v>
      </c>
      <c r="G18" s="24">
        <f t="shared" si="4"/>
        <v>0.96164877686446559</v>
      </c>
      <c r="H18" s="23">
        <v>659058</v>
      </c>
      <c r="I18" s="23">
        <v>534699</v>
      </c>
      <c r="J18" s="24">
        <f t="shared" si="5"/>
        <v>0.81130795772147524</v>
      </c>
      <c r="K18" s="23">
        <v>168303350</v>
      </c>
      <c r="L18" s="23">
        <v>160141020</v>
      </c>
      <c r="M18" s="24">
        <f t="shared" si="6"/>
        <v>0.95150227253349384</v>
      </c>
      <c r="N18" s="30">
        <v>375839</v>
      </c>
      <c r="O18" s="30">
        <v>30476</v>
      </c>
      <c r="P18" s="30">
        <v>85518</v>
      </c>
      <c r="Q18" s="30">
        <v>47568</v>
      </c>
      <c r="R18" s="30">
        <v>2882</v>
      </c>
      <c r="S18" s="34">
        <f t="shared" si="7"/>
        <v>0.69306801061438406</v>
      </c>
    </row>
    <row r="19" spans="1:19" ht="15" x14ac:dyDescent="0.2">
      <c r="A19" s="3" t="s">
        <v>30</v>
      </c>
      <c r="B19" s="1" t="s">
        <v>109</v>
      </c>
      <c r="C19" s="1" t="s">
        <v>110</v>
      </c>
      <c r="D19" s="10" t="s">
        <v>279</v>
      </c>
      <c r="E19" s="23">
        <v>384758209</v>
      </c>
      <c r="F19" s="23">
        <v>374401793</v>
      </c>
      <c r="G19" s="24">
        <f t="shared" si="4"/>
        <v>0.97308331373379486</v>
      </c>
      <c r="H19" s="23">
        <v>714305</v>
      </c>
      <c r="I19" s="23">
        <v>613502</v>
      </c>
      <c r="J19" s="24">
        <f t="shared" si="5"/>
        <v>0.85887961025052328</v>
      </c>
      <c r="K19" s="23">
        <v>229009738</v>
      </c>
      <c r="L19" s="23">
        <v>217850135</v>
      </c>
      <c r="M19" s="24">
        <f t="shared" si="6"/>
        <v>0.95127018135796482</v>
      </c>
      <c r="N19" s="30">
        <v>391569</v>
      </c>
      <c r="O19" s="30">
        <v>13547</v>
      </c>
      <c r="P19" s="30">
        <v>65511</v>
      </c>
      <c r="Q19" s="30">
        <v>35345</v>
      </c>
      <c r="R19" s="30">
        <v>3292</v>
      </c>
      <c r="S19" s="34">
        <f t="shared" si="7"/>
        <v>0.76889196958748307</v>
      </c>
    </row>
    <row r="20" spans="1:19" ht="15" x14ac:dyDescent="0.2">
      <c r="A20" s="3" t="s">
        <v>30</v>
      </c>
      <c r="B20" s="1" t="s">
        <v>104</v>
      </c>
      <c r="C20" s="1" t="s">
        <v>105</v>
      </c>
      <c r="D20" s="10" t="s">
        <v>278</v>
      </c>
      <c r="E20" s="23">
        <v>400613256</v>
      </c>
      <c r="F20" s="23">
        <v>390206863</v>
      </c>
      <c r="G20" s="24">
        <f t="shared" si="4"/>
        <v>0.97402384258597774</v>
      </c>
      <c r="H20" s="23">
        <v>743915</v>
      </c>
      <c r="I20" s="23">
        <v>643791</v>
      </c>
      <c r="J20" s="24">
        <f t="shared" si="5"/>
        <v>0.86540935456335732</v>
      </c>
      <c r="K20" s="23">
        <v>248455127</v>
      </c>
      <c r="L20" s="23">
        <v>236337847</v>
      </c>
      <c r="M20" s="24">
        <f t="shared" si="6"/>
        <v>0.95122950310459886</v>
      </c>
      <c r="N20" s="30">
        <v>489045</v>
      </c>
      <c r="O20" s="30">
        <v>32241</v>
      </c>
      <c r="P20" s="30">
        <v>85242</v>
      </c>
      <c r="Q20" s="30">
        <v>41275</v>
      </c>
      <c r="R20" s="30">
        <v>4243</v>
      </c>
      <c r="S20" s="34">
        <f t="shared" si="7"/>
        <v>0.75001610315836609</v>
      </c>
    </row>
    <row r="21" spans="1:19" ht="15" x14ac:dyDescent="0.2">
      <c r="A21" s="3" t="s">
        <v>30</v>
      </c>
      <c r="B21" s="1" t="s">
        <v>99</v>
      </c>
      <c r="C21" s="1" t="s">
        <v>100</v>
      </c>
      <c r="D21" s="10" t="s">
        <v>277</v>
      </c>
      <c r="E21" s="23">
        <v>116778097</v>
      </c>
      <c r="F21" s="23">
        <v>114014644</v>
      </c>
      <c r="G21" s="24">
        <f t="shared" si="4"/>
        <v>0.97633586202385192</v>
      </c>
      <c r="H21" s="23">
        <v>215865</v>
      </c>
      <c r="I21" s="23">
        <v>177642</v>
      </c>
      <c r="J21" s="24">
        <f t="shared" si="5"/>
        <v>0.82293099854075469</v>
      </c>
      <c r="K21" s="23">
        <v>55512412</v>
      </c>
      <c r="L21" s="23">
        <v>52820551</v>
      </c>
      <c r="M21" s="24">
        <f t="shared" si="6"/>
        <v>0.95150884454453177</v>
      </c>
      <c r="N21" s="30">
        <v>139408</v>
      </c>
      <c r="O21" s="30">
        <v>7339</v>
      </c>
      <c r="P21" s="30">
        <v>26238</v>
      </c>
      <c r="Q21" s="30">
        <v>5511</v>
      </c>
      <c r="R21" s="30">
        <v>1036</v>
      </c>
      <c r="S21" s="34">
        <f t="shared" si="7"/>
        <v>0.77650780919279017</v>
      </c>
    </row>
    <row r="22" spans="1:19" ht="15" x14ac:dyDescent="0.2">
      <c r="A22" s="3" t="s">
        <v>30</v>
      </c>
      <c r="B22" s="1" t="s">
        <v>94</v>
      </c>
      <c r="C22" s="1" t="s">
        <v>95</v>
      </c>
      <c r="D22" s="10" t="s">
        <v>276</v>
      </c>
      <c r="E22" s="23">
        <v>169745030</v>
      </c>
      <c r="F22" s="23">
        <v>165868563</v>
      </c>
      <c r="G22" s="24">
        <f t="shared" si="4"/>
        <v>0.97716300147344515</v>
      </c>
      <c r="H22" s="23">
        <v>303565</v>
      </c>
      <c r="I22" s="23">
        <v>252655</v>
      </c>
      <c r="J22" s="24">
        <f t="shared" si="5"/>
        <v>0.83229291914417014</v>
      </c>
      <c r="K22" s="23">
        <v>81728316</v>
      </c>
      <c r="L22" s="23">
        <v>77761133</v>
      </c>
      <c r="M22" s="24">
        <f t="shared" si="6"/>
        <v>0.95145889216657786</v>
      </c>
      <c r="N22" s="30">
        <v>208427</v>
      </c>
      <c r="O22" s="30">
        <v>8874</v>
      </c>
      <c r="P22" s="30">
        <v>32934</v>
      </c>
      <c r="Q22" s="30">
        <v>3178</v>
      </c>
      <c r="R22" s="30">
        <v>1267</v>
      </c>
      <c r="S22" s="34">
        <f t="shared" si="7"/>
        <v>0.81838778074446361</v>
      </c>
    </row>
    <row r="23" spans="1:19" ht="15" x14ac:dyDescent="0.2">
      <c r="A23" s="3" t="s">
        <v>30</v>
      </c>
      <c r="B23" s="1" t="s">
        <v>89</v>
      </c>
      <c r="C23" s="1" t="s">
        <v>90</v>
      </c>
      <c r="D23" s="10" t="s">
        <v>275</v>
      </c>
      <c r="E23" s="23">
        <v>691468038</v>
      </c>
      <c r="F23" s="23">
        <v>661572862</v>
      </c>
      <c r="G23" s="24">
        <f t="shared" si="4"/>
        <v>0.95676564301298916</v>
      </c>
      <c r="H23" s="23">
        <v>1225903</v>
      </c>
      <c r="I23" s="23">
        <v>1039099</v>
      </c>
      <c r="J23" s="24">
        <f t="shared" si="5"/>
        <v>0.84761926514577413</v>
      </c>
      <c r="K23" s="23">
        <v>326490717</v>
      </c>
      <c r="L23" s="23">
        <v>310657746</v>
      </c>
      <c r="M23" s="24">
        <f t="shared" si="6"/>
        <v>0.95150560130626927</v>
      </c>
      <c r="N23" s="30">
        <v>497608</v>
      </c>
      <c r="O23" s="30">
        <v>334159</v>
      </c>
      <c r="P23" s="30">
        <v>160190</v>
      </c>
      <c r="Q23" s="30">
        <v>49911</v>
      </c>
      <c r="R23" s="30">
        <v>3370</v>
      </c>
      <c r="S23" s="34">
        <f t="shared" si="7"/>
        <v>0.47607147845753789</v>
      </c>
    </row>
    <row r="24" spans="1:19" ht="15" x14ac:dyDescent="0.2">
      <c r="A24" s="3" t="s">
        <v>51</v>
      </c>
      <c r="B24" s="1" t="s">
        <v>86</v>
      </c>
      <c r="C24" s="1" t="s">
        <v>87</v>
      </c>
      <c r="D24" s="10" t="s">
        <v>274</v>
      </c>
      <c r="E24" s="23">
        <v>345546131</v>
      </c>
      <c r="F24" s="23">
        <v>338647017</v>
      </c>
      <c r="G24" s="24">
        <f t="shared" si="4"/>
        <v>0.98003417378734881</v>
      </c>
      <c r="H24" s="23">
        <v>611357</v>
      </c>
      <c r="I24" s="23">
        <v>520000</v>
      </c>
      <c r="J24" s="24">
        <f t="shared" si="5"/>
        <v>0.85056685373685093</v>
      </c>
      <c r="K24" s="23">
        <v>174150312</v>
      </c>
      <c r="L24" s="23">
        <v>165687998</v>
      </c>
      <c r="M24" s="24">
        <f t="shared" si="6"/>
        <v>0.95140798829002382</v>
      </c>
      <c r="N24" s="30">
        <v>351760</v>
      </c>
      <c r="O24" s="30">
        <v>70211</v>
      </c>
      <c r="P24" s="30">
        <v>74507</v>
      </c>
      <c r="Q24" s="30">
        <v>26175</v>
      </c>
      <c r="R24" s="30">
        <v>2769</v>
      </c>
      <c r="S24" s="34">
        <f t="shared" si="7"/>
        <v>0.66948091248558306</v>
      </c>
    </row>
    <row r="25" spans="1:19" ht="15" x14ac:dyDescent="0.2">
      <c r="A25" s="3" t="s">
        <v>30</v>
      </c>
      <c r="B25" s="1" t="s">
        <v>82</v>
      </c>
      <c r="C25" s="1" t="s">
        <v>83</v>
      </c>
      <c r="D25" s="10" t="s">
        <v>273</v>
      </c>
      <c r="E25" s="23">
        <v>341849962</v>
      </c>
      <c r="F25" s="23">
        <v>334364873</v>
      </c>
      <c r="G25" s="24">
        <f t="shared" si="4"/>
        <v>0.97810416898627595</v>
      </c>
      <c r="H25" s="23">
        <v>605500</v>
      </c>
      <c r="I25" s="23">
        <v>505358</v>
      </c>
      <c r="J25" s="24">
        <f t="shared" si="5"/>
        <v>0.83461271676300575</v>
      </c>
      <c r="K25" s="23">
        <v>165083955</v>
      </c>
      <c r="L25" s="23">
        <v>157067999</v>
      </c>
      <c r="M25" s="24">
        <f t="shared" si="6"/>
        <v>0.95144315509039024</v>
      </c>
      <c r="N25" s="30">
        <v>355592</v>
      </c>
      <c r="O25" s="30">
        <v>53849</v>
      </c>
      <c r="P25" s="30">
        <v>72875</v>
      </c>
      <c r="Q25" s="30">
        <v>25662</v>
      </c>
      <c r="R25" s="30">
        <v>2848</v>
      </c>
      <c r="S25" s="34">
        <f t="shared" si="7"/>
        <v>0.69611178757541703</v>
      </c>
    </row>
    <row r="26" spans="1:19" ht="15" x14ac:dyDescent="0.2">
      <c r="A26" s="3" t="s">
        <v>30</v>
      </c>
      <c r="B26" s="1" t="s">
        <v>77</v>
      </c>
      <c r="C26" s="1" t="s">
        <v>78</v>
      </c>
      <c r="D26" s="10" t="s">
        <v>272</v>
      </c>
      <c r="E26" s="23">
        <v>342338019</v>
      </c>
      <c r="F26" s="23">
        <v>326538244</v>
      </c>
      <c r="G26" s="24">
        <f t="shared" si="4"/>
        <v>0.95384744281060996</v>
      </c>
      <c r="H26" s="23">
        <v>605698</v>
      </c>
      <c r="I26" s="23">
        <v>484062</v>
      </c>
      <c r="J26" s="24">
        <f t="shared" si="5"/>
        <v>0.79918044966303337</v>
      </c>
      <c r="K26" s="23">
        <v>159888763</v>
      </c>
      <c r="L26" s="23">
        <v>152123005</v>
      </c>
      <c r="M26" s="24">
        <f t="shared" si="6"/>
        <v>0.95143024528871989</v>
      </c>
      <c r="N26" s="30">
        <v>323834</v>
      </c>
      <c r="O26" s="30">
        <v>23114</v>
      </c>
      <c r="P26" s="30">
        <v>92667</v>
      </c>
      <c r="Q26" s="30">
        <v>46669</v>
      </c>
      <c r="R26" s="30">
        <v>2082</v>
      </c>
      <c r="S26" s="34">
        <f t="shared" si="7"/>
        <v>0.66309693959038918</v>
      </c>
    </row>
    <row r="27" spans="1:19" ht="15" x14ac:dyDescent="0.2">
      <c r="A27" s="3" t="s">
        <v>30</v>
      </c>
      <c r="B27" s="1" t="s">
        <v>71</v>
      </c>
      <c r="C27" s="1" t="s">
        <v>72</v>
      </c>
      <c r="D27" s="10" t="s">
        <v>271</v>
      </c>
      <c r="E27" s="23">
        <v>326962890</v>
      </c>
      <c r="F27" s="23">
        <v>312226241</v>
      </c>
      <c r="G27" s="24">
        <f t="shared" si="4"/>
        <v>0.95492868013247623</v>
      </c>
      <c r="H27" s="23">
        <v>583391</v>
      </c>
      <c r="I27" s="23">
        <v>476147</v>
      </c>
      <c r="J27" s="24">
        <f t="shared" si="5"/>
        <v>0.81617131563565426</v>
      </c>
      <c r="K27" s="23">
        <v>162222230</v>
      </c>
      <c r="L27" s="23">
        <v>154335833</v>
      </c>
      <c r="M27" s="24">
        <f t="shared" si="6"/>
        <v>0.95138522630344802</v>
      </c>
      <c r="N27" s="30">
        <v>170255</v>
      </c>
      <c r="O27" s="30">
        <v>14710</v>
      </c>
      <c r="P27" s="30">
        <v>44364</v>
      </c>
      <c r="Q27" s="30">
        <v>39543</v>
      </c>
      <c r="R27" s="30">
        <v>1391</v>
      </c>
      <c r="S27" s="34">
        <f t="shared" si="7"/>
        <v>0.62996044593599565</v>
      </c>
    </row>
    <row r="28" spans="1:19" ht="15" x14ac:dyDescent="0.2">
      <c r="A28" s="3" t="s">
        <v>30</v>
      </c>
      <c r="B28" s="1" t="s">
        <v>67</v>
      </c>
      <c r="C28" s="1" t="s">
        <v>68</v>
      </c>
      <c r="D28" s="10" t="s">
        <v>270</v>
      </c>
      <c r="E28" s="23">
        <v>710121089</v>
      </c>
      <c r="F28" s="23">
        <v>681788763</v>
      </c>
      <c r="G28" s="24">
        <f t="shared" si="4"/>
        <v>0.96010211999210182</v>
      </c>
      <c r="H28" s="23">
        <v>1273360</v>
      </c>
      <c r="I28" s="23">
        <v>1105101</v>
      </c>
      <c r="J28" s="24">
        <f t="shared" si="5"/>
        <v>0.86786219136772003</v>
      </c>
      <c r="K28" s="23">
        <v>353436215</v>
      </c>
      <c r="L28" s="23">
        <v>336286335</v>
      </c>
      <c r="M28" s="24">
        <f t="shared" si="6"/>
        <v>0.95147673251310705</v>
      </c>
      <c r="N28" s="30">
        <v>736432</v>
      </c>
      <c r="O28" s="30">
        <v>144165</v>
      </c>
      <c r="P28" s="30">
        <v>169257</v>
      </c>
      <c r="Q28" s="30">
        <v>60275</v>
      </c>
      <c r="R28" s="30">
        <v>5323</v>
      </c>
      <c r="S28" s="34">
        <f t="shared" si="7"/>
        <v>0.66020949355059655</v>
      </c>
    </row>
    <row r="29" spans="1:19" ht="15" x14ac:dyDescent="0.2">
      <c r="A29" s="3" t="s">
        <v>30</v>
      </c>
      <c r="B29" s="1" t="s">
        <v>62</v>
      </c>
      <c r="C29" s="1" t="s">
        <v>63</v>
      </c>
      <c r="D29" s="10" t="s">
        <v>269</v>
      </c>
      <c r="E29" s="23">
        <v>663990252</v>
      </c>
      <c r="F29" s="23">
        <v>635480292</v>
      </c>
      <c r="G29" s="24">
        <f t="shared" si="4"/>
        <v>0.95706268290215801</v>
      </c>
      <c r="H29" s="23">
        <v>1183763</v>
      </c>
      <c r="I29" s="23">
        <v>933086</v>
      </c>
      <c r="J29" s="24">
        <f t="shared" si="5"/>
        <v>0.78823717247455782</v>
      </c>
      <c r="K29" s="23">
        <v>328819221</v>
      </c>
      <c r="L29" s="23">
        <v>312821037</v>
      </c>
      <c r="M29" s="24">
        <f t="shared" si="6"/>
        <v>0.95134656681155505</v>
      </c>
      <c r="N29" s="30">
        <v>143185</v>
      </c>
      <c r="O29" s="30">
        <v>23694</v>
      </c>
      <c r="P29" s="30">
        <v>38629</v>
      </c>
      <c r="Q29" s="30">
        <v>11448</v>
      </c>
      <c r="R29" s="30">
        <v>1330</v>
      </c>
      <c r="S29" s="34">
        <f t="shared" si="7"/>
        <v>0.65595136655580288</v>
      </c>
    </row>
    <row r="30" spans="1:19" ht="15" x14ac:dyDescent="0.2">
      <c r="A30" s="3" t="s">
        <v>51</v>
      </c>
      <c r="B30" s="1" t="s">
        <v>59</v>
      </c>
      <c r="C30" s="1" t="s">
        <v>60</v>
      </c>
      <c r="D30" s="10" t="s">
        <v>268</v>
      </c>
      <c r="E30" s="23">
        <v>360251924</v>
      </c>
      <c r="F30" s="23">
        <v>348411134</v>
      </c>
      <c r="G30" s="24">
        <f t="shared" si="4"/>
        <v>0.96713191738567927</v>
      </c>
      <c r="H30" s="23">
        <v>637241</v>
      </c>
      <c r="I30" s="23">
        <v>513369</v>
      </c>
      <c r="J30" s="24">
        <f t="shared" si="5"/>
        <v>0.80561200550498158</v>
      </c>
      <c r="K30" s="23">
        <v>187009213</v>
      </c>
      <c r="L30" s="23">
        <v>177901002</v>
      </c>
      <c r="M30" s="24">
        <f t="shared" si="6"/>
        <v>0.95129538885338227</v>
      </c>
      <c r="N30" s="30">
        <v>398771</v>
      </c>
      <c r="O30" s="30">
        <v>31560</v>
      </c>
      <c r="P30" s="30">
        <v>67817</v>
      </c>
      <c r="Q30" s="30">
        <v>16704</v>
      </c>
      <c r="R30" s="30">
        <v>3297</v>
      </c>
      <c r="S30" s="34">
        <f t="shared" si="7"/>
        <v>0.76960681194019476</v>
      </c>
    </row>
    <row r="31" spans="1:19" ht="15" x14ac:dyDescent="0.2">
      <c r="A31" s="3" t="s">
        <v>30</v>
      </c>
      <c r="B31" s="1" t="s">
        <v>56</v>
      </c>
      <c r="C31" s="1" t="s">
        <v>57</v>
      </c>
      <c r="D31" s="10" t="s">
        <v>267</v>
      </c>
      <c r="E31" s="23">
        <v>270591317</v>
      </c>
      <c r="F31" s="23">
        <v>259615071</v>
      </c>
      <c r="G31" s="24">
        <f t="shared" si="4"/>
        <v>0.95943607458771485</v>
      </c>
      <c r="H31" s="23">
        <v>470191</v>
      </c>
      <c r="I31" s="23">
        <v>364086</v>
      </c>
      <c r="J31" s="24">
        <f t="shared" si="5"/>
        <v>0.77433638670242522</v>
      </c>
      <c r="K31" s="23">
        <v>132913048</v>
      </c>
      <c r="L31" s="23">
        <v>126439690</v>
      </c>
      <c r="M31" s="24">
        <f t="shared" si="6"/>
        <v>0.95129629410048588</v>
      </c>
      <c r="N31" s="30">
        <v>249472</v>
      </c>
      <c r="O31" s="30">
        <v>47305</v>
      </c>
      <c r="P31" s="30">
        <v>52776</v>
      </c>
      <c r="Q31" s="30">
        <v>16745</v>
      </c>
      <c r="R31" s="30">
        <v>1926</v>
      </c>
      <c r="S31" s="34">
        <f t="shared" si="7"/>
        <v>0.67750065177717911</v>
      </c>
    </row>
    <row r="32" spans="1:19" ht="15" x14ac:dyDescent="0.2">
      <c r="A32" s="3"/>
      <c r="B32" s="3"/>
      <c r="C32" s="3"/>
      <c r="D32" s="11"/>
    </row>
    <row r="33" spans="1:19" ht="15" x14ac:dyDescent="0.2">
      <c r="A33" s="3"/>
      <c r="B33" s="3"/>
      <c r="C33" s="3"/>
      <c r="D33" s="11"/>
    </row>
    <row r="34" spans="1:19" ht="15" x14ac:dyDescent="0.2">
      <c r="A34" s="6" t="s">
        <v>131</v>
      </c>
      <c r="B34" s="3" t="s">
        <v>132</v>
      </c>
      <c r="C34" s="1" t="s">
        <v>133</v>
      </c>
      <c r="D34" s="14" t="s">
        <v>284</v>
      </c>
      <c r="E34" s="27"/>
      <c r="F34" s="27"/>
      <c r="G34" s="28"/>
      <c r="H34" s="27"/>
      <c r="I34" s="27"/>
      <c r="J34" s="28"/>
      <c r="K34" s="27"/>
      <c r="L34" s="27"/>
      <c r="M34" s="28"/>
    </row>
    <row r="35" spans="1:19" ht="15" x14ac:dyDescent="0.2">
      <c r="A35" s="3" t="s">
        <v>30</v>
      </c>
      <c r="B35" s="3"/>
      <c r="C35" s="3"/>
      <c r="D35" s="15" t="s">
        <v>285</v>
      </c>
      <c r="E35" s="27"/>
      <c r="F35" s="27"/>
      <c r="G35" s="28"/>
      <c r="H35" s="27"/>
      <c r="I35" s="27"/>
      <c r="J35" s="28"/>
      <c r="K35" s="27"/>
      <c r="L35" s="27"/>
      <c r="M35" s="28"/>
    </row>
    <row r="36" spans="1:19" ht="15" x14ac:dyDescent="0.2">
      <c r="A36" s="3" t="s">
        <v>30</v>
      </c>
      <c r="B36" s="3"/>
      <c r="C36" s="3"/>
      <c r="D36" s="15" t="s">
        <v>286</v>
      </c>
      <c r="E36" s="27"/>
      <c r="F36" s="27" t="s">
        <v>350</v>
      </c>
      <c r="G36" s="28"/>
      <c r="H36" s="27"/>
      <c r="I36" s="27" t="s">
        <v>350</v>
      </c>
      <c r="J36" s="28"/>
      <c r="K36" s="27"/>
      <c r="L36" s="27" t="s">
        <v>350</v>
      </c>
      <c r="M36" s="28"/>
    </row>
    <row r="37" spans="1:19" ht="15" x14ac:dyDescent="0.2">
      <c r="A37" s="3" t="s">
        <v>30</v>
      </c>
      <c r="B37" s="3"/>
      <c r="C37" s="3"/>
      <c r="D37" s="15" t="s">
        <v>287</v>
      </c>
      <c r="E37" s="27"/>
      <c r="F37" s="27"/>
      <c r="G37" s="28"/>
      <c r="H37" s="27"/>
      <c r="I37" s="27"/>
      <c r="J37" s="28"/>
      <c r="K37" s="27"/>
      <c r="L37" s="27"/>
      <c r="M37" s="28"/>
    </row>
    <row r="38" spans="1:19" ht="15" x14ac:dyDescent="0.25">
      <c r="A38" s="3" t="s">
        <v>30</v>
      </c>
      <c r="B38" s="3"/>
      <c r="C38" s="3"/>
      <c r="D38" s="15" t="s">
        <v>288</v>
      </c>
      <c r="E38" s="27"/>
      <c r="F38" s="27"/>
      <c r="G38" s="28"/>
      <c r="H38" s="27"/>
      <c r="I38" s="27"/>
      <c r="J38" s="28"/>
      <c r="K38" s="27"/>
      <c r="L38" s="27"/>
      <c r="M38" s="28"/>
      <c r="N38"/>
      <c r="O38"/>
      <c r="P38"/>
      <c r="Q38"/>
      <c r="R38"/>
    </row>
    <row r="39" spans="1:19" ht="15" x14ac:dyDescent="0.2">
      <c r="A39" s="3"/>
      <c r="B39" s="3"/>
      <c r="C39" s="3"/>
      <c r="D39" s="11"/>
    </row>
    <row r="40" spans="1:19" ht="15" x14ac:dyDescent="0.25">
      <c r="A40" s="6" t="s">
        <v>141</v>
      </c>
      <c r="B40" s="1" t="s">
        <v>142</v>
      </c>
      <c r="C40" s="1" t="s">
        <v>143</v>
      </c>
      <c r="D40" s="13" t="s">
        <v>289</v>
      </c>
      <c r="E40" s="29" t="s">
        <v>334</v>
      </c>
      <c r="F40" s="29" t="s">
        <v>334</v>
      </c>
      <c r="G40" s="24">
        <v>1</v>
      </c>
      <c r="H40" s="23">
        <v>353062</v>
      </c>
      <c r="I40" s="23">
        <v>307521</v>
      </c>
      <c r="J40" s="24">
        <f>I40/H40</f>
        <v>0.87101132379015589</v>
      </c>
      <c r="K40" s="23">
        <v>95174643</v>
      </c>
      <c r="L40" s="23">
        <v>90560945</v>
      </c>
      <c r="M40" s="24">
        <f>L40/K40</f>
        <v>0.95152387385366921</v>
      </c>
      <c r="N40">
        <v>250068</v>
      </c>
      <c r="O40">
        <v>4474</v>
      </c>
      <c r="P40">
        <v>50295</v>
      </c>
      <c r="Q40">
        <v>5956</v>
      </c>
      <c r="R40">
        <v>1565</v>
      </c>
      <c r="S40" s="34">
        <f>N40/(O40+P40+Q40+N40+R40)</f>
        <v>0.8005813841809718</v>
      </c>
    </row>
    <row r="41" spans="1:19" ht="15" x14ac:dyDescent="0.2">
      <c r="A41" s="3"/>
      <c r="B41" s="3"/>
      <c r="C41" s="3"/>
      <c r="D41" s="11"/>
    </row>
    <row r="42" spans="1:19" ht="15" x14ac:dyDescent="0.25">
      <c r="A42" s="6" t="s">
        <v>147</v>
      </c>
      <c r="B42" s="37" t="s">
        <v>148</v>
      </c>
      <c r="C42" s="1" t="s">
        <v>149</v>
      </c>
      <c r="D42" s="11" t="s">
        <v>290</v>
      </c>
      <c r="E42" s="23">
        <v>244427471</v>
      </c>
      <c r="F42" s="23">
        <v>234427121</v>
      </c>
      <c r="G42" s="24">
        <f>F42/E42</f>
        <v>0.95908663637893632</v>
      </c>
      <c r="H42" s="23">
        <v>427009</v>
      </c>
      <c r="I42" s="23">
        <v>327255</v>
      </c>
      <c r="J42" s="24">
        <f>I42/H42</f>
        <v>0.76638899882672262</v>
      </c>
      <c r="K42" s="23">
        <v>116843734</v>
      </c>
      <c r="L42" s="23">
        <v>111155908</v>
      </c>
      <c r="M42" s="24">
        <f>L42/K42</f>
        <v>0.9513210866746179</v>
      </c>
      <c r="N42">
        <v>245932</v>
      </c>
      <c r="O42">
        <v>9717</v>
      </c>
      <c r="P42">
        <v>61791</v>
      </c>
      <c r="Q42">
        <v>10790</v>
      </c>
      <c r="R42">
        <v>1548</v>
      </c>
      <c r="S42" s="34">
        <f>N42/(O42+P42+Q42+N42+R42)</f>
        <v>0.74575017132737786</v>
      </c>
    </row>
    <row r="43" spans="1:19" ht="15" x14ac:dyDescent="0.25">
      <c r="A43" s="3" t="s">
        <v>30</v>
      </c>
      <c r="B43" s="1" t="s">
        <v>152</v>
      </c>
      <c r="C43" s="1" t="s">
        <v>153</v>
      </c>
      <c r="D43" s="11" t="s">
        <v>291</v>
      </c>
      <c r="E43" s="23">
        <v>325326847</v>
      </c>
      <c r="F43" s="23">
        <v>312324951</v>
      </c>
      <c r="G43" s="24">
        <f>F43/E43</f>
        <v>0.96003435892273592</v>
      </c>
      <c r="H43" s="23">
        <v>566726</v>
      </c>
      <c r="I43" s="23">
        <v>427824</v>
      </c>
      <c r="J43" s="24">
        <f>I43/H43</f>
        <v>0.7549044864714165</v>
      </c>
      <c r="K43" s="23">
        <v>153664879</v>
      </c>
      <c r="L43" s="23">
        <v>146183325</v>
      </c>
      <c r="N43">
        <v>319839</v>
      </c>
      <c r="O43">
        <v>10744</v>
      </c>
      <c r="P43">
        <v>84955</v>
      </c>
      <c r="Q43">
        <v>13416</v>
      </c>
      <c r="R43">
        <v>2038</v>
      </c>
      <c r="S43" s="34">
        <f>N43/(O43+P43+Q43+N43+R43)</f>
        <v>0.74209962133867913</v>
      </c>
    </row>
    <row r="44" spans="1:19" ht="15" x14ac:dyDescent="0.2">
      <c r="A44" s="3"/>
      <c r="B44" s="1"/>
      <c r="C44" s="1"/>
      <c r="D44" s="11"/>
    </row>
    <row r="45" spans="1:19" ht="15" x14ac:dyDescent="0.25">
      <c r="A45" s="7" t="s">
        <v>155</v>
      </c>
      <c r="B45" s="1" t="s">
        <v>172</v>
      </c>
      <c r="C45" s="1" t="s">
        <v>173</v>
      </c>
      <c r="D45" s="15" t="s">
        <v>295</v>
      </c>
      <c r="E45" s="27"/>
      <c r="F45" s="27"/>
      <c r="G45" s="28"/>
      <c r="H45" s="27"/>
      <c r="I45" s="27"/>
      <c r="J45" s="28"/>
      <c r="K45" s="27"/>
      <c r="L45" s="27"/>
      <c r="M45" s="28"/>
      <c r="N45">
        <v>60629265</v>
      </c>
      <c r="O45">
        <v>2505012</v>
      </c>
      <c r="P45">
        <v>18983780</v>
      </c>
      <c r="Q45">
        <v>2537062</v>
      </c>
      <c r="R45">
        <v>302042</v>
      </c>
      <c r="S45" s="34">
        <f>N45/(O45+P45+Q45+N45+R45)</f>
        <v>0.71364513934263885</v>
      </c>
    </row>
    <row r="46" spans="1:19" ht="15" x14ac:dyDescent="0.25">
      <c r="A46" s="3" t="s">
        <v>30</v>
      </c>
      <c r="B46" s="1" t="s">
        <v>167</v>
      </c>
      <c r="C46" s="1" t="s">
        <v>168</v>
      </c>
      <c r="D46" s="15" t="s">
        <v>294</v>
      </c>
      <c r="E46" s="27"/>
      <c r="F46" s="27"/>
      <c r="G46" s="28"/>
      <c r="H46" s="27"/>
      <c r="I46" s="27"/>
      <c r="J46" s="28"/>
      <c r="K46" s="27"/>
      <c r="L46" s="27"/>
      <c r="M46" s="28"/>
      <c r="N46">
        <v>56481535</v>
      </c>
      <c r="O46">
        <v>3369907</v>
      </c>
      <c r="P46">
        <v>24071736</v>
      </c>
      <c r="Q46">
        <v>3941532</v>
      </c>
      <c r="R46">
        <v>361183</v>
      </c>
      <c r="S46" s="34">
        <f t="shared" ref="S46:S48" si="8">N46/(O46+P46+Q46+N46+R46)</f>
        <v>0.64019227325927996</v>
      </c>
    </row>
    <row r="47" spans="1:19" ht="15" x14ac:dyDescent="0.25">
      <c r="A47" s="3" t="s">
        <v>30</v>
      </c>
      <c r="B47" s="1" t="s">
        <v>162</v>
      </c>
      <c r="C47" s="1" t="s">
        <v>163</v>
      </c>
      <c r="D47" s="15" t="s">
        <v>293</v>
      </c>
      <c r="E47" s="27"/>
      <c r="F47" s="27" t="s">
        <v>350</v>
      </c>
      <c r="G47" s="28"/>
      <c r="H47" s="27"/>
      <c r="I47" s="27" t="s">
        <v>350</v>
      </c>
      <c r="J47" s="28"/>
      <c r="K47" s="27"/>
      <c r="L47" s="27" t="s">
        <v>350</v>
      </c>
      <c r="M47" s="28"/>
      <c r="N47">
        <v>69909864</v>
      </c>
      <c r="O47">
        <v>3381242</v>
      </c>
      <c r="P47">
        <v>24045761</v>
      </c>
      <c r="Q47">
        <v>3363105</v>
      </c>
      <c r="R47">
        <v>493988</v>
      </c>
      <c r="S47" s="34">
        <f t="shared" si="8"/>
        <v>0.69085016536560084</v>
      </c>
    </row>
    <row r="48" spans="1:19" ht="18" customHeight="1" x14ac:dyDescent="0.25">
      <c r="A48"/>
      <c r="B48" s="1" t="s">
        <v>156</v>
      </c>
      <c r="C48" s="1" t="s">
        <v>157</v>
      </c>
      <c r="D48" s="15" t="s">
        <v>292</v>
      </c>
      <c r="E48" s="27"/>
      <c r="F48" s="27"/>
      <c r="G48" s="28"/>
      <c r="H48" s="27"/>
      <c r="I48" s="27"/>
      <c r="J48" s="28"/>
      <c r="K48" s="27"/>
      <c r="L48" s="27"/>
      <c r="M48" s="28"/>
      <c r="N48">
        <v>70841789</v>
      </c>
      <c r="O48">
        <v>3232360</v>
      </c>
      <c r="P48">
        <v>21882383</v>
      </c>
      <c r="Q48">
        <v>2882182</v>
      </c>
      <c r="R48">
        <v>471915</v>
      </c>
      <c r="S48" s="34">
        <f t="shared" si="8"/>
        <v>0.71333541750098073</v>
      </c>
    </row>
    <row r="49" spans="1:19" ht="15" x14ac:dyDescent="0.2">
      <c r="A49" s="3"/>
      <c r="B49" s="1"/>
      <c r="C49" s="1"/>
      <c r="D49" s="11"/>
    </row>
    <row r="50" spans="1:19" ht="15" x14ac:dyDescent="0.2">
      <c r="A50" s="6" t="s">
        <v>177</v>
      </c>
      <c r="B50" s="37" t="s">
        <v>178</v>
      </c>
      <c r="C50" s="1" t="s">
        <v>179</v>
      </c>
      <c r="D50" s="11" t="s">
        <v>296</v>
      </c>
      <c r="F50" s="36" t="s">
        <v>354</v>
      </c>
    </row>
    <row r="51" spans="1:19" ht="15" x14ac:dyDescent="0.25">
      <c r="A51" s="3" t="s">
        <v>30</v>
      </c>
      <c r="B51" s="1" t="s">
        <v>184</v>
      </c>
      <c r="C51" s="3"/>
      <c r="D51" s="11" t="s">
        <v>297</v>
      </c>
      <c r="E51" s="23">
        <v>298724291</v>
      </c>
      <c r="F51" s="23">
        <v>287888295</v>
      </c>
      <c r="G51" s="24">
        <f>F51/E51</f>
        <v>0.96372576209411775</v>
      </c>
      <c r="H51" s="23">
        <v>556465</v>
      </c>
      <c r="I51" s="23">
        <v>381597</v>
      </c>
      <c r="J51" s="24">
        <f>I51/H51</f>
        <v>0.68575202393681545</v>
      </c>
      <c r="K51" s="23">
        <v>140775284</v>
      </c>
      <c r="L51" s="23">
        <v>133915788</v>
      </c>
      <c r="M51" s="24">
        <f>L51/K51</f>
        <v>0.9512734351862504</v>
      </c>
      <c r="N51">
        <v>250455</v>
      </c>
      <c r="O51">
        <v>27625</v>
      </c>
      <c r="P51">
        <v>63700</v>
      </c>
      <c r="Q51">
        <v>43842</v>
      </c>
      <c r="R51">
        <v>1800</v>
      </c>
      <c r="S51" s="34">
        <f>N51/(O51+P51+Q51+N51+R51)</f>
        <v>0.64646561114237189</v>
      </c>
    </row>
    <row r="52" spans="1:19" ht="15" x14ac:dyDescent="0.2">
      <c r="A52" s="3"/>
      <c r="B52" s="3"/>
      <c r="C52" s="3"/>
      <c r="D52" s="11"/>
    </row>
    <row r="53" spans="1:19" ht="15" x14ac:dyDescent="0.25">
      <c r="A53" s="6" t="s">
        <v>186</v>
      </c>
      <c r="B53" s="1" t="s">
        <v>187</v>
      </c>
      <c r="C53" s="1" t="s">
        <v>188</v>
      </c>
      <c r="D53" s="11" t="s">
        <v>298</v>
      </c>
      <c r="E53" s="23">
        <v>316892967</v>
      </c>
      <c r="F53" s="23">
        <v>307601562</v>
      </c>
      <c r="G53" s="24">
        <f>F53/E53</f>
        <v>0.97067967431413527</v>
      </c>
      <c r="H53" s="23">
        <v>620463</v>
      </c>
      <c r="I53" s="23">
        <v>590002</v>
      </c>
      <c r="J53" s="24">
        <f>I53/H53</f>
        <v>0.95090601695830368</v>
      </c>
      <c r="K53" s="23">
        <v>228042068</v>
      </c>
      <c r="L53" s="23">
        <v>216918974</v>
      </c>
      <c r="M53" s="24">
        <f>L53/K53</f>
        <v>0.95122349969217079</v>
      </c>
      <c r="N53">
        <v>463474</v>
      </c>
      <c r="O53">
        <v>24561</v>
      </c>
      <c r="P53">
        <v>75787</v>
      </c>
      <c r="Q53">
        <v>30251</v>
      </c>
      <c r="R53">
        <v>3518</v>
      </c>
      <c r="S53" s="34">
        <f>N53/(O53+P53+Q53+N53+R53)</f>
        <v>0.7755705825556275</v>
      </c>
    </row>
    <row r="54" spans="1:19" ht="15" x14ac:dyDescent="0.25">
      <c r="A54" s="3" t="s">
        <v>30</v>
      </c>
      <c r="B54" s="1" t="s">
        <v>192</v>
      </c>
      <c r="C54" s="1" t="s">
        <v>193</v>
      </c>
      <c r="D54" s="11" t="s">
        <v>299</v>
      </c>
      <c r="E54" s="23">
        <v>255951939</v>
      </c>
      <c r="F54" s="23">
        <v>248460033</v>
      </c>
      <c r="G54" s="24">
        <f t="shared" ref="G54:G55" si="9">F54/E54</f>
        <v>0.97072924694663087</v>
      </c>
      <c r="H54" s="23">
        <v>501296</v>
      </c>
      <c r="I54" s="23">
        <v>471588</v>
      </c>
      <c r="J54" s="24">
        <f t="shared" ref="J54:J55" si="10">I54/H54</f>
        <v>0.9407376081197536</v>
      </c>
      <c r="K54" s="23">
        <v>183391082</v>
      </c>
      <c r="L54" s="23">
        <v>174444490</v>
      </c>
      <c r="M54" s="24">
        <f t="shared" ref="M54:M55" si="11">L54/K54</f>
        <v>0.95121577394913892</v>
      </c>
      <c r="N54">
        <v>355331</v>
      </c>
      <c r="O54">
        <v>28278</v>
      </c>
      <c r="P54">
        <v>60839</v>
      </c>
      <c r="Q54">
        <v>29993</v>
      </c>
      <c r="R54">
        <v>2841</v>
      </c>
      <c r="S54" s="34">
        <f t="shared" ref="S54:S55" si="12">N54/(O54+P54+Q54+N54+R54)</f>
        <v>0.74448858326942979</v>
      </c>
    </row>
    <row r="55" spans="1:19" ht="15" x14ac:dyDescent="0.25">
      <c r="A55" s="3" t="s">
        <v>30</v>
      </c>
      <c r="B55" s="1" t="s">
        <v>196</v>
      </c>
      <c r="C55" s="1" t="s">
        <v>197</v>
      </c>
      <c r="D55" s="11" t="s">
        <v>300</v>
      </c>
      <c r="E55" s="23">
        <v>348454577</v>
      </c>
      <c r="F55" s="23">
        <v>338170635</v>
      </c>
      <c r="G55" s="24">
        <f t="shared" si="9"/>
        <v>0.97048699406235661</v>
      </c>
      <c r="H55" s="23">
        <v>686731</v>
      </c>
      <c r="I55" s="23">
        <v>650216</v>
      </c>
      <c r="J55" s="24">
        <f t="shared" si="10"/>
        <v>0.94682779720152432</v>
      </c>
      <c r="K55" s="23">
        <v>242707034</v>
      </c>
      <c r="L55" s="23">
        <v>230879566</v>
      </c>
      <c r="M55" s="24">
        <f t="shared" si="11"/>
        <v>0.95126854049067244</v>
      </c>
      <c r="N55">
        <v>512127</v>
      </c>
      <c r="O55">
        <v>21630</v>
      </c>
      <c r="P55">
        <v>91121</v>
      </c>
      <c r="Q55">
        <v>31871</v>
      </c>
      <c r="R55">
        <v>4092</v>
      </c>
      <c r="S55" s="34">
        <f t="shared" si="12"/>
        <v>0.77496250989269733</v>
      </c>
    </row>
    <row r="56" spans="1:19" ht="15" x14ac:dyDescent="0.2">
      <c r="A56" s="3"/>
      <c r="B56" s="3"/>
      <c r="C56" s="3"/>
      <c r="D56" s="11"/>
    </row>
    <row r="57" spans="1:19" ht="15" x14ac:dyDescent="0.25">
      <c r="A57" s="6" t="s">
        <v>200</v>
      </c>
      <c r="B57" s="4" t="s">
        <v>201</v>
      </c>
      <c r="C57" s="1" t="s">
        <v>202</v>
      </c>
      <c r="D57" s="11" t="s">
        <v>301</v>
      </c>
      <c r="E57" s="23">
        <v>347146501</v>
      </c>
      <c r="F57" s="23">
        <v>341696395</v>
      </c>
      <c r="G57" s="24">
        <f>F57/E57</f>
        <v>0.98430027096830797</v>
      </c>
      <c r="H57" s="23">
        <v>606271</v>
      </c>
      <c r="I57" s="23">
        <v>500340</v>
      </c>
      <c r="J57" s="24">
        <f>I57/H57</f>
        <v>0.82527450595525764</v>
      </c>
      <c r="K57" s="23">
        <v>145187378</v>
      </c>
      <c r="L57" s="23">
        <v>138165423</v>
      </c>
      <c r="M57" s="24">
        <f>L57/K57</f>
        <v>0.95163522410329637</v>
      </c>
      <c r="N57">
        <v>393710</v>
      </c>
      <c r="O57">
        <v>9468</v>
      </c>
      <c r="P57">
        <v>79944</v>
      </c>
      <c r="Q57">
        <v>17116</v>
      </c>
      <c r="R57">
        <v>2691</v>
      </c>
      <c r="S57" s="34">
        <f>N57/(O57+P57+Q57+N57+R57)</f>
        <v>0.78283415750533381</v>
      </c>
    </row>
    <row r="58" spans="1:19" ht="15" x14ac:dyDescent="0.25">
      <c r="A58" s="3" t="s">
        <v>30</v>
      </c>
      <c r="B58" s="1" t="s">
        <v>203</v>
      </c>
      <c r="C58" s="1" t="s">
        <v>204</v>
      </c>
      <c r="D58" s="11" t="s">
        <v>302</v>
      </c>
      <c r="E58" s="23">
        <v>425318829</v>
      </c>
      <c r="F58" s="23">
        <v>420204997</v>
      </c>
      <c r="G58" s="24">
        <f>F58/E58</f>
        <v>0.98797647399711053</v>
      </c>
      <c r="H58" s="23">
        <v>731216</v>
      </c>
      <c r="I58" s="23">
        <v>628655</v>
      </c>
      <c r="J58" s="24">
        <f>I58/H58</f>
        <v>0.85973911949410298</v>
      </c>
      <c r="K58" s="23">
        <v>175835504</v>
      </c>
      <c r="L58" s="23">
        <v>167342200</v>
      </c>
      <c r="M58" s="24">
        <f>L58/K58</f>
        <v>0.95169744558527836</v>
      </c>
      <c r="N58">
        <v>493560</v>
      </c>
      <c r="O58">
        <v>20394</v>
      </c>
      <c r="P58">
        <v>100067</v>
      </c>
      <c r="Q58">
        <v>15121</v>
      </c>
      <c r="R58">
        <v>2844</v>
      </c>
      <c r="S58" s="34">
        <f>N58/(O58+P58+Q58+N58+R58)</f>
        <v>0.78096666698312933</v>
      </c>
    </row>
    <row r="59" spans="1:19" ht="15" x14ac:dyDescent="0.2">
      <c r="A59" s="3"/>
      <c r="B59" s="3"/>
      <c r="C59" s="3"/>
      <c r="D59" s="11"/>
    </row>
    <row r="60" spans="1:19" ht="15" x14ac:dyDescent="0.25">
      <c r="A60" s="3" t="s">
        <v>30</v>
      </c>
      <c r="B60" s="1" t="s">
        <v>216</v>
      </c>
      <c r="C60" s="1" t="s">
        <v>217</v>
      </c>
      <c r="D60" s="11" t="s">
        <v>305</v>
      </c>
      <c r="E60" s="23">
        <v>271559408</v>
      </c>
      <c r="F60" s="23">
        <v>263451386</v>
      </c>
      <c r="G60" s="24">
        <f>F60/E60</f>
        <v>0.97014273208313961</v>
      </c>
      <c r="H60" s="23">
        <v>541661</v>
      </c>
      <c r="I60" s="23">
        <v>507744</v>
      </c>
      <c r="J60" s="24">
        <f>I60/H60</f>
        <v>0.93738334493345465</v>
      </c>
      <c r="K60" s="23">
        <v>176886395</v>
      </c>
      <c r="L60" s="23">
        <v>168281933</v>
      </c>
      <c r="M60" s="24">
        <f>L60/K60</f>
        <v>0.95135599886017241</v>
      </c>
      <c r="N60">
        <v>415352</v>
      </c>
      <c r="O60">
        <v>10073</v>
      </c>
      <c r="P60">
        <v>83061</v>
      </c>
      <c r="Q60">
        <v>6951</v>
      </c>
      <c r="R60">
        <v>3116</v>
      </c>
      <c r="S60" s="34">
        <f>N60/(O60+P60+Q60+N60+R60)</f>
        <v>0.80098273464814584</v>
      </c>
    </row>
    <row r="61" spans="1:19" ht="15" x14ac:dyDescent="0.25">
      <c r="A61" s="3" t="s">
        <v>30</v>
      </c>
      <c r="B61" s="1" t="s">
        <v>212</v>
      </c>
      <c r="C61" s="1" t="s">
        <v>213</v>
      </c>
      <c r="D61" s="11" t="s">
        <v>304</v>
      </c>
      <c r="E61" s="23">
        <v>221557381</v>
      </c>
      <c r="F61" s="23">
        <v>216369805</v>
      </c>
      <c r="G61" s="24">
        <f t="shared" ref="G61:G63" si="13">F61/E61</f>
        <v>0.97658585790919783</v>
      </c>
      <c r="H61" s="23">
        <v>411881</v>
      </c>
      <c r="I61" s="23">
        <v>303765</v>
      </c>
      <c r="J61" s="24">
        <f t="shared" ref="J61:J63" si="14">I61/H61</f>
        <v>0.73750670703431331</v>
      </c>
      <c r="K61" s="23">
        <v>89278288</v>
      </c>
      <c r="L61" s="23">
        <v>84958092</v>
      </c>
      <c r="M61" s="24">
        <f t="shared" ref="M61:M63" si="15">L61/K61</f>
        <v>0.95160977997248331</v>
      </c>
      <c r="N61">
        <v>241589</v>
      </c>
      <c r="O61">
        <v>7088</v>
      </c>
      <c r="P61">
        <v>60311</v>
      </c>
      <c r="Q61">
        <v>5555</v>
      </c>
      <c r="R61">
        <v>1182</v>
      </c>
      <c r="S61" s="34">
        <f t="shared" ref="S61:S63" si="16">N61/(O61+P61+Q61+N61+R61)</f>
        <v>0.76518805922875921</v>
      </c>
    </row>
    <row r="62" spans="1:19" ht="15" x14ac:dyDescent="0.25">
      <c r="A62" s="6" t="s">
        <v>206</v>
      </c>
      <c r="B62" s="1" t="s">
        <v>207</v>
      </c>
      <c r="C62" s="1" t="s">
        <v>208</v>
      </c>
      <c r="D62" s="11" t="s">
        <v>303</v>
      </c>
      <c r="E62" s="23">
        <v>254731794</v>
      </c>
      <c r="F62" s="23">
        <v>246471578</v>
      </c>
      <c r="G62" s="24">
        <f t="shared" si="13"/>
        <v>0.96757288962523458</v>
      </c>
      <c r="H62" s="23">
        <v>455550</v>
      </c>
      <c r="I62" s="23">
        <v>353047</v>
      </c>
      <c r="J62" s="24">
        <f t="shared" si="14"/>
        <v>0.77499067061793436</v>
      </c>
      <c r="K62" s="23">
        <v>102283026</v>
      </c>
      <c r="L62" s="23">
        <v>97334833</v>
      </c>
      <c r="M62" s="24">
        <f t="shared" si="15"/>
        <v>0.95162253999016411</v>
      </c>
      <c r="N62">
        <v>284306</v>
      </c>
      <c r="O62">
        <v>7820</v>
      </c>
      <c r="P62">
        <v>61422</v>
      </c>
      <c r="Q62">
        <v>7191</v>
      </c>
      <c r="R62">
        <v>1981</v>
      </c>
      <c r="S62" s="34">
        <f t="shared" si="16"/>
        <v>0.78381671812968678</v>
      </c>
    </row>
    <row r="63" spans="1:19" ht="15" x14ac:dyDescent="0.25">
      <c r="A63" s="3" t="s">
        <v>30</v>
      </c>
      <c r="B63" s="1" t="s">
        <v>221</v>
      </c>
      <c r="C63" s="1" t="s">
        <v>222</v>
      </c>
      <c r="D63" s="11" t="s">
        <v>306</v>
      </c>
      <c r="E63" s="23">
        <v>262516388</v>
      </c>
      <c r="F63" s="23">
        <v>254528649</v>
      </c>
      <c r="G63" s="24">
        <f t="shared" si="13"/>
        <v>0.96957241770369018</v>
      </c>
      <c r="H63" s="23">
        <v>532866</v>
      </c>
      <c r="I63" s="23">
        <v>495612</v>
      </c>
      <c r="J63" s="24">
        <f t="shared" si="14"/>
        <v>0.93008748916237849</v>
      </c>
      <c r="K63" s="23">
        <v>174329033</v>
      </c>
      <c r="L63" s="23">
        <v>165846685</v>
      </c>
      <c r="M63" s="24">
        <f t="shared" si="15"/>
        <v>0.95134288389014354</v>
      </c>
      <c r="N63">
        <v>400169</v>
      </c>
      <c r="O63">
        <v>8752</v>
      </c>
      <c r="P63">
        <v>93945</v>
      </c>
      <c r="Q63">
        <v>6980</v>
      </c>
      <c r="R63">
        <v>2697</v>
      </c>
      <c r="S63" s="34">
        <f t="shared" si="16"/>
        <v>0.78075205397400804</v>
      </c>
    </row>
    <row r="64" spans="1:19" ht="15" x14ac:dyDescent="0.2">
      <c r="A64" s="3"/>
      <c r="B64" s="3"/>
      <c r="C64" s="3"/>
      <c r="D64" s="11"/>
    </row>
    <row r="65" spans="1:19" ht="15" x14ac:dyDescent="0.25">
      <c r="A65" s="6" t="s">
        <v>236</v>
      </c>
      <c r="B65" s="37" t="s">
        <v>237</v>
      </c>
      <c r="C65" s="1" t="s">
        <v>238</v>
      </c>
      <c r="D65" s="11" t="s">
        <v>309</v>
      </c>
      <c r="E65" s="23">
        <v>373287874</v>
      </c>
      <c r="F65" s="23">
        <v>363161584</v>
      </c>
      <c r="G65" s="24">
        <f>F65/E65</f>
        <v>0.97287270574452145</v>
      </c>
      <c r="H65" s="23">
        <v>675088</v>
      </c>
      <c r="I65" s="23">
        <v>595426</v>
      </c>
      <c r="J65" s="24">
        <f>I65/H65</f>
        <v>0.88199760623800161</v>
      </c>
      <c r="K65" s="23">
        <v>222932240</v>
      </c>
      <c r="L65" s="23">
        <v>212067721</v>
      </c>
      <c r="M65" s="24">
        <f>L65/K65</f>
        <v>0.95126537552397084</v>
      </c>
      <c r="N65">
        <v>433773</v>
      </c>
      <c r="O65">
        <v>20599</v>
      </c>
      <c r="P65">
        <v>86484</v>
      </c>
      <c r="Q65">
        <v>27443</v>
      </c>
      <c r="R65">
        <v>4204</v>
      </c>
      <c r="S65" s="34">
        <f>N65/(O65+P65+Q65+N65+R65)</f>
        <v>0.75767812570414483</v>
      </c>
    </row>
    <row r="66" spans="1:19" ht="15" x14ac:dyDescent="0.25">
      <c r="A66" s="3" t="s">
        <v>30</v>
      </c>
      <c r="B66" s="1" t="s">
        <v>241</v>
      </c>
      <c r="C66" s="1" t="s">
        <v>242</v>
      </c>
      <c r="D66" s="11" t="s">
        <v>310</v>
      </c>
      <c r="E66" s="23">
        <v>354571719</v>
      </c>
      <c r="F66" s="23">
        <v>344922774</v>
      </c>
      <c r="G66" s="24">
        <f>F66/E66</f>
        <v>0.97278704283801043</v>
      </c>
      <c r="H66" s="23">
        <v>643263</v>
      </c>
      <c r="I66" s="23">
        <v>563973</v>
      </c>
      <c r="J66" s="24">
        <f>I66/H66</f>
        <v>0.87673781952327434</v>
      </c>
      <c r="K66" s="23">
        <v>220405864</v>
      </c>
      <c r="L66" s="23">
        <v>209652232</v>
      </c>
      <c r="M66" s="24">
        <f>L66/K66</f>
        <v>0.9512098643618665</v>
      </c>
      <c r="N66">
        <v>452911</v>
      </c>
      <c r="O66">
        <v>32911</v>
      </c>
      <c r="P66">
        <v>88063</v>
      </c>
      <c r="Q66">
        <v>24720</v>
      </c>
      <c r="R66">
        <v>3841</v>
      </c>
      <c r="S66" s="34">
        <f>N66/(O66+P66+Q66+N66+R66)</f>
        <v>0.75178688214379386</v>
      </c>
    </row>
    <row r="67" spans="1:19" ht="15" x14ac:dyDescent="0.2">
      <c r="A67" s="3"/>
      <c r="B67" s="3"/>
      <c r="C67" s="3"/>
      <c r="D67" s="11"/>
    </row>
    <row r="68" spans="1:19" ht="15" x14ac:dyDescent="0.25">
      <c r="A68" s="3" t="s">
        <v>30</v>
      </c>
      <c r="B68" s="1" t="s">
        <v>246</v>
      </c>
      <c r="C68" s="1" t="s">
        <v>247</v>
      </c>
      <c r="D68" s="11" t="s">
        <v>311</v>
      </c>
      <c r="E68" s="23">
        <v>102829099</v>
      </c>
      <c r="F68" s="23">
        <v>100035691</v>
      </c>
      <c r="G68" s="24">
        <f>F68/E68</f>
        <v>0.97283446001992102</v>
      </c>
      <c r="H68" s="23">
        <v>186465</v>
      </c>
      <c r="I68" s="23">
        <v>172097</v>
      </c>
      <c r="J68" s="24">
        <f>I68/H68</f>
        <v>0.92294532485989322</v>
      </c>
      <c r="K68" s="23">
        <v>69179415</v>
      </c>
      <c r="L68" s="23">
        <v>65801469</v>
      </c>
      <c r="M68" s="24">
        <f>L68/K68</f>
        <v>0.95117122629614603</v>
      </c>
      <c r="N68">
        <v>3685</v>
      </c>
      <c r="O68">
        <v>473</v>
      </c>
      <c r="P68">
        <v>1257</v>
      </c>
      <c r="Q68">
        <v>1071</v>
      </c>
      <c r="R68">
        <v>27</v>
      </c>
      <c r="S68" s="34">
        <f>N68/(O68+P68+Q68+N68+R68)</f>
        <v>0.56579149393520656</v>
      </c>
    </row>
    <row r="69" spans="1:19" ht="15" x14ac:dyDescent="0.25">
      <c r="A69" s="3" t="s">
        <v>30</v>
      </c>
      <c r="B69" s="1" t="s">
        <v>250</v>
      </c>
      <c r="C69" s="1" t="s">
        <v>251</v>
      </c>
      <c r="D69" s="11" t="s">
        <v>312</v>
      </c>
      <c r="E69" s="23">
        <v>312669755</v>
      </c>
      <c r="F69" s="23">
        <v>304039622</v>
      </c>
      <c r="G69" s="24">
        <f>F69/E69</f>
        <v>0.97239856793951818</v>
      </c>
      <c r="H69" s="23">
        <v>576114</v>
      </c>
      <c r="I69" s="23">
        <v>540018</v>
      </c>
      <c r="J69" s="24">
        <f>I69/H69</f>
        <v>0.93734573365688045</v>
      </c>
      <c r="K69" s="23">
        <v>231769720</v>
      </c>
      <c r="L69" s="23">
        <v>220433243</v>
      </c>
      <c r="M69" s="24">
        <f>L69/K69</f>
        <v>0.95108732495340631</v>
      </c>
      <c r="N69">
        <v>391898</v>
      </c>
      <c r="O69">
        <v>29606</v>
      </c>
      <c r="P69">
        <v>115849</v>
      </c>
      <c r="Q69">
        <v>16657</v>
      </c>
      <c r="R69">
        <v>1313</v>
      </c>
      <c r="S69" s="34">
        <f>N69/(O69+P69+Q69+N69+R69)</f>
        <v>0.70571181096406954</v>
      </c>
    </row>
    <row r="71" spans="1:19" ht="15.75" x14ac:dyDescent="0.25">
      <c r="D71" s="33" t="s">
        <v>340</v>
      </c>
      <c r="E71" s="29" t="s">
        <v>346</v>
      </c>
      <c r="F71" s="29" t="s">
        <v>346</v>
      </c>
      <c r="G71" s="24">
        <v>1</v>
      </c>
      <c r="H71" s="23">
        <v>286796</v>
      </c>
      <c r="I71" s="23">
        <v>241826</v>
      </c>
      <c r="J71" s="24">
        <f>I71/H71</f>
        <v>0.84319864991143534</v>
      </c>
      <c r="K71" s="23">
        <v>82385338</v>
      </c>
      <c r="L71" s="23">
        <v>78380100</v>
      </c>
      <c r="M71" s="24">
        <f>L71/K71</f>
        <v>0.95138409215484432</v>
      </c>
      <c r="N71">
        <v>189379</v>
      </c>
      <c r="O71">
        <v>11722</v>
      </c>
      <c r="P71">
        <v>32513</v>
      </c>
      <c r="Q71">
        <v>9310</v>
      </c>
      <c r="R71">
        <v>1447</v>
      </c>
      <c r="S71" s="34">
        <f>N71/(O71+P71+Q71+N71+R71)</f>
        <v>0.77496511451849848</v>
      </c>
    </row>
    <row r="72" spans="1:19" ht="15.75" x14ac:dyDescent="0.25">
      <c r="D72" s="33" t="s">
        <v>341</v>
      </c>
      <c r="E72" s="29" t="s">
        <v>346</v>
      </c>
      <c r="F72" s="29" t="s">
        <v>346</v>
      </c>
      <c r="G72" s="24">
        <v>1</v>
      </c>
      <c r="H72" s="23">
        <v>125149</v>
      </c>
      <c r="I72" s="23">
        <v>110084</v>
      </c>
      <c r="J72" s="24">
        <f t="shared" ref="J72:J76" si="17">I72/H72</f>
        <v>0.87962348880134877</v>
      </c>
      <c r="K72" s="23">
        <v>36674267</v>
      </c>
      <c r="L72" s="23">
        <v>34892485</v>
      </c>
      <c r="M72" s="24">
        <f t="shared" ref="M72:M76" si="18">L72/K72</f>
        <v>0.95141601603107706</v>
      </c>
      <c r="N72">
        <v>88081</v>
      </c>
      <c r="O72">
        <v>5931</v>
      </c>
      <c r="P72">
        <v>12104</v>
      </c>
      <c r="Q72">
        <v>4411</v>
      </c>
      <c r="R72">
        <v>416</v>
      </c>
      <c r="S72" s="34">
        <f t="shared" ref="S72:S76" si="19">N72/(O72+P72+Q72+N72+R72)</f>
        <v>0.79393021641743955</v>
      </c>
    </row>
    <row r="73" spans="1:19" ht="15.75" x14ac:dyDescent="0.25">
      <c r="D73" s="33" t="s">
        <v>342</v>
      </c>
      <c r="E73" s="29" t="s">
        <v>346</v>
      </c>
      <c r="F73" s="29" t="s">
        <v>346</v>
      </c>
      <c r="G73" s="24">
        <v>1</v>
      </c>
      <c r="H73" s="23">
        <v>129582</v>
      </c>
      <c r="I73" s="23">
        <v>112152</v>
      </c>
      <c r="J73" s="24">
        <f t="shared" si="17"/>
        <v>0.86549057739500856</v>
      </c>
      <c r="K73" s="23">
        <v>39917781</v>
      </c>
      <c r="L73" s="23">
        <v>37974983</v>
      </c>
      <c r="M73" s="24">
        <f t="shared" si="18"/>
        <v>0.95133001005241247</v>
      </c>
      <c r="N73">
        <v>92708</v>
      </c>
      <c r="O73">
        <v>3876</v>
      </c>
      <c r="P73">
        <v>11530</v>
      </c>
      <c r="Q73">
        <v>4494</v>
      </c>
      <c r="R73">
        <v>425</v>
      </c>
      <c r="S73" s="34">
        <f t="shared" si="19"/>
        <v>0.82018525563331057</v>
      </c>
    </row>
    <row r="74" spans="1:19" ht="15.75" x14ac:dyDescent="0.25">
      <c r="D74" s="33" t="s">
        <v>345</v>
      </c>
      <c r="E74" s="29" t="s">
        <v>346</v>
      </c>
      <c r="F74" s="29" t="s">
        <v>346</v>
      </c>
      <c r="G74" s="24">
        <v>1</v>
      </c>
      <c r="H74" s="23">
        <v>142447</v>
      </c>
      <c r="I74" s="23">
        <v>121907</v>
      </c>
      <c r="J74" s="24">
        <f t="shared" si="17"/>
        <v>0.85580601908078091</v>
      </c>
      <c r="K74" s="23">
        <v>39285500</v>
      </c>
      <c r="L74" s="23">
        <v>37378827</v>
      </c>
      <c r="M74" s="24">
        <f t="shared" si="18"/>
        <v>0.95146624072494945</v>
      </c>
      <c r="N74">
        <v>89576</v>
      </c>
      <c r="O74">
        <v>5190</v>
      </c>
      <c r="P74">
        <v>22034</v>
      </c>
      <c r="Q74">
        <v>6353</v>
      </c>
      <c r="R74">
        <v>564</v>
      </c>
      <c r="S74" s="34">
        <f t="shared" si="19"/>
        <v>0.72403954185762665</v>
      </c>
    </row>
    <row r="75" spans="1:19" ht="15.75" x14ac:dyDescent="0.25">
      <c r="D75" s="33" t="s">
        <v>343</v>
      </c>
      <c r="E75" s="29" t="s">
        <v>346</v>
      </c>
      <c r="F75" s="29" t="s">
        <v>346</v>
      </c>
      <c r="G75" s="24">
        <v>1</v>
      </c>
      <c r="H75" s="23">
        <v>240199</v>
      </c>
      <c r="I75" s="23">
        <v>207660</v>
      </c>
      <c r="J75" s="24">
        <f t="shared" si="17"/>
        <v>0.86453315792322194</v>
      </c>
      <c r="K75" s="23">
        <v>67740145</v>
      </c>
      <c r="L75" s="23">
        <v>64451343</v>
      </c>
      <c r="M75" s="24">
        <f t="shared" si="18"/>
        <v>0.95144973486549222</v>
      </c>
      <c r="N75">
        <v>159441</v>
      </c>
      <c r="O75">
        <v>9645</v>
      </c>
      <c r="P75">
        <v>30079</v>
      </c>
      <c r="Q75">
        <v>9647</v>
      </c>
      <c r="R75">
        <v>839</v>
      </c>
      <c r="S75" s="34">
        <f t="shared" si="19"/>
        <v>0.7605067469270359</v>
      </c>
    </row>
    <row r="76" spans="1:19" ht="15.75" x14ac:dyDescent="0.25">
      <c r="D76" s="33" t="s">
        <v>344</v>
      </c>
      <c r="E76" s="29" t="s">
        <v>346</v>
      </c>
      <c r="F76" s="29" t="s">
        <v>346</v>
      </c>
      <c r="G76" s="24">
        <v>1</v>
      </c>
      <c r="H76" s="23">
        <v>281373</v>
      </c>
      <c r="I76" s="23">
        <v>240592</v>
      </c>
      <c r="J76" s="24">
        <f t="shared" si="17"/>
        <v>0.85506427411301011</v>
      </c>
      <c r="K76" s="23">
        <v>83331353</v>
      </c>
      <c r="L76" s="23">
        <v>79278502</v>
      </c>
      <c r="M76" s="24">
        <f t="shared" si="18"/>
        <v>0.95136463222912027</v>
      </c>
      <c r="N76">
        <v>79151</v>
      </c>
      <c r="O76">
        <v>5720</v>
      </c>
      <c r="P76">
        <v>11957</v>
      </c>
      <c r="Q76">
        <v>4782</v>
      </c>
      <c r="R76">
        <v>584</v>
      </c>
      <c r="S76" s="34">
        <f t="shared" si="19"/>
        <v>0.77451709493708043</v>
      </c>
    </row>
  </sheetData>
  <sortState ref="A60:D63">
    <sortCondition ref="D60"/>
  </sortState>
  <mergeCells count="4">
    <mergeCell ref="E1:G1"/>
    <mergeCell ref="H1:J1"/>
    <mergeCell ref="K1:M1"/>
    <mergeCell ref="N1:R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BioData</dc:creator>
  <cp:lastModifiedBy>Marta</cp:lastModifiedBy>
  <cp:lastPrinted>2019-01-29T11:42:03Z</cp:lastPrinted>
  <dcterms:created xsi:type="dcterms:W3CDTF">2019-01-04T10:59:53Z</dcterms:created>
  <dcterms:modified xsi:type="dcterms:W3CDTF">2019-03-15T13:13:53Z</dcterms:modified>
</cp:coreProperties>
</file>
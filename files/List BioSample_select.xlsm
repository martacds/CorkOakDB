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C:\Users\BioData\Documents\Q.suber - BioSample\"/>
    </mc:Choice>
  </mc:AlternateContent>
  <bookViews>
    <workbookView xWindow="0" yWindow="0" windowWidth="20490" windowHeight="7770" activeTab="1"/>
  </bookViews>
  <sheets>
    <sheet name="Sheet1" sheetId="1" r:id="rId1"/>
    <sheet name=".xml BioSamples" sheetId="4" r:id="rId2"/>
    <sheet name="In_Out - LOGS" sheetId="3"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2" i="3" l="1"/>
  <c r="Q49" i="3"/>
  <c r="K49" i="3"/>
  <c r="H49" i="3"/>
  <c r="E49" i="3"/>
  <c r="Q34" i="3" l="1"/>
  <c r="Q35" i="3"/>
  <c r="Q36" i="3"/>
  <c r="Q37" i="3"/>
  <c r="Q33" i="3"/>
  <c r="Q31" i="3"/>
  <c r="E71" i="3"/>
  <c r="E72" i="3"/>
  <c r="E73" i="3"/>
  <c r="E74" i="3"/>
  <c r="E75" i="3"/>
  <c r="E70" i="3"/>
  <c r="E68" i="3"/>
  <c r="Q71" i="3" l="1"/>
  <c r="Q72" i="3"/>
  <c r="Q73" i="3"/>
  <c r="Q74" i="3"/>
  <c r="Q75" i="3"/>
  <c r="Q70" i="3"/>
  <c r="Q68" i="3"/>
  <c r="Q67" i="3"/>
  <c r="Q65" i="3"/>
  <c r="Q64" i="3"/>
  <c r="Q60" i="3"/>
  <c r="Q61" i="3"/>
  <c r="Q62" i="3"/>
  <c r="Q59" i="3"/>
  <c r="Q57" i="3"/>
  <c r="Q56" i="3"/>
  <c r="Q53" i="3"/>
  <c r="Q54" i="3"/>
  <c r="Q52" i="3"/>
  <c r="Q50" i="3"/>
  <c r="Q42" i="3"/>
  <c r="Q41" i="3"/>
  <c r="Q39" i="3"/>
  <c r="Q12" i="3"/>
  <c r="Q13" i="3"/>
  <c r="Q14" i="3"/>
  <c r="Q15" i="3"/>
  <c r="Q16" i="3"/>
  <c r="Q17" i="3"/>
  <c r="Q18" i="3"/>
  <c r="Q19" i="3"/>
  <c r="Q20" i="3"/>
  <c r="Q21" i="3"/>
  <c r="Q22" i="3"/>
  <c r="Q23" i="3"/>
  <c r="Q24" i="3"/>
  <c r="Q25" i="3"/>
  <c r="Q26" i="3"/>
  <c r="Q27" i="3"/>
  <c r="Q28" i="3"/>
  <c r="Q29" i="3"/>
  <c r="Q30" i="3"/>
  <c r="Q11" i="3"/>
  <c r="Q4" i="3"/>
  <c r="Q5" i="3"/>
  <c r="Q6" i="3"/>
  <c r="Q7" i="3"/>
  <c r="Q8" i="3"/>
  <c r="Q9" i="3"/>
  <c r="Q3" i="3"/>
  <c r="Q45" i="3"/>
  <c r="Q46" i="3"/>
  <c r="Q47" i="3"/>
  <c r="Q44" i="3"/>
  <c r="K71" i="3" l="1"/>
  <c r="K72" i="3"/>
  <c r="K73" i="3"/>
  <c r="K74" i="3"/>
  <c r="K75" i="3"/>
  <c r="K70" i="3"/>
  <c r="H71" i="3"/>
  <c r="H72" i="3"/>
  <c r="H73" i="3"/>
  <c r="H74" i="3"/>
  <c r="H75" i="3"/>
  <c r="H70" i="3"/>
  <c r="K68" i="3"/>
  <c r="K65" i="3"/>
  <c r="K60" i="3"/>
  <c r="K61" i="3"/>
  <c r="K62" i="3"/>
  <c r="K57" i="3"/>
  <c r="K53" i="3"/>
  <c r="K54" i="3"/>
  <c r="H68" i="3"/>
  <c r="H65" i="3"/>
  <c r="H60" i="3"/>
  <c r="H61" i="3"/>
  <c r="H62" i="3"/>
  <c r="H57" i="3"/>
  <c r="H53" i="3"/>
  <c r="H54" i="3"/>
  <c r="E65" i="3"/>
  <c r="E60" i="3"/>
  <c r="E61" i="3"/>
  <c r="E62" i="3"/>
  <c r="E57" i="3"/>
  <c r="E53" i="3"/>
  <c r="E54" i="3"/>
  <c r="K67" i="3"/>
  <c r="H67" i="3"/>
  <c r="E67" i="3"/>
  <c r="K64" i="3"/>
  <c r="H64" i="3"/>
  <c r="E64" i="3"/>
  <c r="K59" i="3"/>
  <c r="H59" i="3"/>
  <c r="E59" i="3"/>
  <c r="K56" i="3"/>
  <c r="H56" i="3"/>
  <c r="E56" i="3"/>
  <c r="K52" i="3"/>
  <c r="H52" i="3"/>
  <c r="K50" i="3"/>
  <c r="H50" i="3"/>
  <c r="K41" i="3"/>
  <c r="H41" i="3"/>
  <c r="H42" i="3"/>
  <c r="K39" i="3"/>
  <c r="H39" i="3"/>
  <c r="E52" i="3"/>
  <c r="E50" i="3"/>
  <c r="E42" i="3"/>
  <c r="E41" i="3"/>
  <c r="K12" i="3"/>
  <c r="K13" i="3"/>
  <c r="K14" i="3"/>
  <c r="K15" i="3"/>
  <c r="K16" i="3"/>
  <c r="K17" i="3"/>
  <c r="K18" i="3"/>
  <c r="K19" i="3"/>
  <c r="K20" i="3"/>
  <c r="K21" i="3"/>
  <c r="K22" i="3"/>
  <c r="K23" i="3"/>
  <c r="K24" i="3"/>
  <c r="K25" i="3"/>
  <c r="K26" i="3"/>
  <c r="K27" i="3"/>
  <c r="K28" i="3"/>
  <c r="K29" i="3"/>
  <c r="K30" i="3"/>
  <c r="K31" i="3"/>
  <c r="H12" i="3"/>
  <c r="H13" i="3"/>
  <c r="H14" i="3"/>
  <c r="H15" i="3"/>
  <c r="H16" i="3"/>
  <c r="H17" i="3"/>
  <c r="H18" i="3"/>
  <c r="H19" i="3"/>
  <c r="H20" i="3"/>
  <c r="H21" i="3"/>
  <c r="H22" i="3"/>
  <c r="H23" i="3"/>
  <c r="H24" i="3"/>
  <c r="H25" i="3"/>
  <c r="H26" i="3"/>
  <c r="H27" i="3"/>
  <c r="H28" i="3"/>
  <c r="H29" i="3"/>
  <c r="H30" i="3"/>
  <c r="H31" i="3"/>
  <c r="K11" i="3"/>
  <c r="H11" i="3"/>
  <c r="E12" i="3"/>
  <c r="E13" i="3"/>
  <c r="E14" i="3"/>
  <c r="E15" i="3"/>
  <c r="E16" i="3"/>
  <c r="E17" i="3"/>
  <c r="E18" i="3"/>
  <c r="E19" i="3"/>
  <c r="E20" i="3"/>
  <c r="E21" i="3"/>
  <c r="E22" i="3"/>
  <c r="E23" i="3"/>
  <c r="E24" i="3"/>
  <c r="E25" i="3"/>
  <c r="E26" i="3"/>
  <c r="E27" i="3"/>
  <c r="E28" i="3"/>
  <c r="E29" i="3"/>
  <c r="E30" i="3"/>
  <c r="E31" i="3"/>
  <c r="E11" i="3"/>
  <c r="K9" i="3"/>
  <c r="K7" i="3"/>
  <c r="K6" i="3"/>
  <c r="K5" i="3"/>
  <c r="K4" i="3"/>
  <c r="K3" i="3"/>
  <c r="K8" i="3"/>
  <c r="H9" i="3"/>
  <c r="H7" i="3"/>
  <c r="H6" i="3"/>
  <c r="H5" i="3"/>
  <c r="H4" i="3"/>
  <c r="H3" i="3"/>
  <c r="H8" i="3"/>
  <c r="E9" i="3"/>
  <c r="E7" i="3"/>
  <c r="E6" i="3"/>
  <c r="E5" i="3"/>
  <c r="E4" i="3"/>
  <c r="E3" i="3"/>
  <c r="E8" i="3"/>
</calcChain>
</file>

<file path=xl/sharedStrings.xml><?xml version="1.0" encoding="utf-8"?>
<sst xmlns="http://schemas.openxmlformats.org/spreadsheetml/2006/main" count="1631" uniqueCount="636">
  <si>
    <t>BioSample</t>
  </si>
  <si>
    <t>SRA</t>
  </si>
  <si>
    <t>Description</t>
  </si>
  <si>
    <t>Tissue</t>
  </si>
  <si>
    <t>Developmental Stage</t>
  </si>
  <si>
    <t>Alias</t>
  </si>
  <si>
    <t>BioProject</t>
  </si>
  <si>
    <t>PRJEB6178</t>
  </si>
  <si>
    <t>SAMEA2482147</t>
  </si>
  <si>
    <t>ERS445605</t>
  </si>
  <si>
    <t>Pool of cork oak acorns from developmental stage S1 to S8</t>
  </si>
  <si>
    <t>Fruit</t>
  </si>
  <si>
    <t>S1 to S8</t>
  </si>
  <si>
    <t>FR</t>
  </si>
  <si>
    <t>SAMEA2482148</t>
  </si>
  <si>
    <t>ERS445606</t>
  </si>
  <si>
    <t>Pool of embryos extracted from cork oak acorns in developmental stages S1 to S8</t>
  </si>
  <si>
    <t>Embryos</t>
  </si>
  <si>
    <t>"</t>
  </si>
  <si>
    <t>EM</t>
  </si>
  <si>
    <t>S8</t>
  </si>
  <si>
    <t>ERS445604</t>
  </si>
  <si>
    <t>SAMEA2482146</t>
  </si>
  <si>
    <t>Cork oak acorns at developmental stage S8</t>
  </si>
  <si>
    <t>S5</t>
  </si>
  <si>
    <t>SAMEA2482145</t>
  </si>
  <si>
    <t>ERS445603</t>
  </si>
  <si>
    <t>Cork oak acorns at developmental stage S5</t>
  </si>
  <si>
    <t>SAMEA2482144</t>
  </si>
  <si>
    <t>ERS445602</t>
  </si>
  <si>
    <t xml:space="preserve"> </t>
  </si>
  <si>
    <t>Cork oak acorns at developmental stages S3 and S4</t>
  </si>
  <si>
    <t>S3 and S4</t>
  </si>
  <si>
    <t>S3S4</t>
  </si>
  <si>
    <t>SAMEA2482143</t>
  </si>
  <si>
    <t>ERS445601</t>
  </si>
  <si>
    <t>Cork oak acorns at developmental stage S2</t>
  </si>
  <si>
    <t>S2</t>
  </si>
  <si>
    <t>SAMEA2482142</t>
  </si>
  <si>
    <t>ERS445600</t>
  </si>
  <si>
    <t>Cork oak acorns at developmental stage S1</t>
  </si>
  <si>
    <t>S1</t>
  </si>
  <si>
    <t>PRJEB3237</t>
  </si>
  <si>
    <t>SAMEA2024620</t>
  </si>
  <si>
    <t>ERS168247</t>
  </si>
  <si>
    <t>L-4</t>
  </si>
  <si>
    <t>SAMEA2024619</t>
  </si>
  <si>
    <t>ERS168246</t>
  </si>
  <si>
    <t>L-3</t>
  </si>
  <si>
    <t>SAMEA2024618</t>
  </si>
  <si>
    <t>ERS168245</t>
  </si>
  <si>
    <t xml:space="preserve">  </t>
  </si>
  <si>
    <t>L-2</t>
  </si>
  <si>
    <t>SAMEA2024752</t>
  </si>
  <si>
    <t>ERS168265</t>
  </si>
  <si>
    <t>L-1</t>
  </si>
  <si>
    <t>SAMEA2024751</t>
  </si>
  <si>
    <t>ERS168264</t>
  </si>
  <si>
    <t>L-21</t>
  </si>
  <si>
    <t>SAMEA2024750</t>
  </si>
  <si>
    <t>ERS168263</t>
  </si>
  <si>
    <t>L-20</t>
  </si>
  <si>
    <t>SAMEA2024634</t>
  </si>
  <si>
    <t>ERS168262</t>
  </si>
  <si>
    <t>L-19</t>
  </si>
  <si>
    <t>Leaves (from 8 locations for polymorphism detection)</t>
  </si>
  <si>
    <t>Leaves</t>
  </si>
  <si>
    <t>SAMEA2024633</t>
  </si>
  <si>
    <t>ERS168261</t>
  </si>
  <si>
    <t>Abiotic stress: drought, salt and oxidative stresses (roots and shoots)</t>
  </si>
  <si>
    <t>L-18</t>
  </si>
  <si>
    <t>SAMEA1963654</t>
  </si>
  <si>
    <t>ERS168260</t>
  </si>
  <si>
    <t>Bud sprouting (bud phases 3 and 4)</t>
  </si>
  <si>
    <t>Bud</t>
  </si>
  <si>
    <t>Bud phases 3 and 4</t>
  </si>
  <si>
    <t>L-17</t>
  </si>
  <si>
    <t>SAMEA2024632</t>
  </si>
  <si>
    <t>ERS168259</t>
  </si>
  <si>
    <t>Bud sprouting (bud phases 1 and 2)</t>
  </si>
  <si>
    <t>Bud phases 1 and 2</t>
  </si>
  <si>
    <t>L-16 , Bud sproutin (phases 1 and 2)</t>
  </si>
  <si>
    <t>SAMEA2024631</t>
  </si>
  <si>
    <t>ERS168258</t>
  </si>
  <si>
    <t>Annual stems</t>
  </si>
  <si>
    <t>L-15</t>
  </si>
  <si>
    <t>SAMEA2024630</t>
  </si>
  <si>
    <t>ERS168257</t>
  </si>
  <si>
    <t>L-14</t>
  </si>
  <si>
    <t>SAMEA2024629</t>
  </si>
  <si>
    <t>ERS168256</t>
  </si>
  <si>
    <t>L-13 , Mycorrhizal symbiosis (roots)</t>
  </si>
  <si>
    <t>Roots</t>
  </si>
  <si>
    <t>Mycorrhizal symbiosis (roots)</t>
  </si>
  <si>
    <t>SAMEA2024628</t>
  </si>
  <si>
    <t>ERS168255</t>
  </si>
  <si>
    <t>Biotic stress: roots (thin white roots from 18 month old plants) infected by Phytophtora cinnamomi</t>
  </si>
  <si>
    <t>18 month old plants</t>
  </si>
  <si>
    <t>L-12 , Biotic stress (roots)</t>
  </si>
  <si>
    <t>SAMEA2024627</t>
  </si>
  <si>
    <t>ERS168254</t>
  </si>
  <si>
    <t>Biotic stress: roots (germinated acorns) infected by Phytophtora cinnamomi</t>
  </si>
  <si>
    <t>Germinated acorns</t>
  </si>
  <si>
    <t>L-11 , Biotic stress (acorns)</t>
  </si>
  <si>
    <t>SAMEA2024626</t>
  </si>
  <si>
    <t>ERS168253</t>
  </si>
  <si>
    <t>Whole fruits at 7 developmental stages</t>
  </si>
  <si>
    <t>7 stages</t>
  </si>
  <si>
    <t>L-10</t>
  </si>
  <si>
    <t>SAMEA2024625</t>
  </si>
  <si>
    <t>ERS168252</t>
  </si>
  <si>
    <t>Embryos from fruits at 4 developmental stages</t>
  </si>
  <si>
    <t>4 stages</t>
  </si>
  <si>
    <t>L-9</t>
  </si>
  <si>
    <t>SAMEA2024624</t>
  </si>
  <si>
    <t>ERS168251</t>
  </si>
  <si>
    <t>Male flowers</t>
  </si>
  <si>
    <t>Flowers</t>
  </si>
  <si>
    <t>L-8</t>
  </si>
  <si>
    <t>SAMEA2024623</t>
  </si>
  <si>
    <t>ERS168250</t>
  </si>
  <si>
    <t>Female flowers</t>
  </si>
  <si>
    <t>L-7</t>
  </si>
  <si>
    <t>SAMEA2024622</t>
  </si>
  <si>
    <t>ERS168249</t>
  </si>
  <si>
    <t>L-6</t>
  </si>
  <si>
    <t>SAMEA2024621</t>
  </si>
  <si>
    <t>ERS168248</t>
  </si>
  <si>
    <t>Abiotic Stress: heat (leaves)</t>
  </si>
  <si>
    <t>L-5</t>
  </si>
  <si>
    <t>Illumina</t>
  </si>
  <si>
    <t>PRJNA392919</t>
  </si>
  <si>
    <t>SAMN07312269</t>
  </si>
  <si>
    <t>SRS2349719</t>
  </si>
  <si>
    <t>Phellem</t>
  </si>
  <si>
    <t>Xylem</t>
  </si>
  <si>
    <t>HL8</t>
  </si>
  <si>
    <t>HL8 tree (120-150y)</t>
  </si>
  <si>
    <t>Montargil; This individual was chosen based on a microsatellite study performed on trees with good cork quality in order to choose the one with the least heterozygosity rate</t>
  </si>
  <si>
    <t>Innerbark</t>
  </si>
  <si>
    <t>Pollen</t>
  </si>
  <si>
    <t>PRJNA318475</t>
  </si>
  <si>
    <t>SAMN04854206</t>
  </si>
  <si>
    <t>SRS1396886</t>
  </si>
  <si>
    <t>15-20y field-grown trees; Spain</t>
  </si>
  <si>
    <t>15-20y trees</t>
  </si>
  <si>
    <t>Quercus_RL6</t>
  </si>
  <si>
    <t>PRJNA379225</t>
  </si>
  <si>
    <t>SAMN06603602</t>
  </si>
  <si>
    <t>SRS2049704</t>
  </si>
  <si>
    <t>Later_stages</t>
  </si>
  <si>
    <t>Portugal; Bud sprouting development: red bud and open bud</t>
  </si>
  <si>
    <t>SAMN06603601</t>
  </si>
  <si>
    <t>SRS2049705</t>
  </si>
  <si>
    <t>Portugal; Bud sprouting development: dormant bud and bus swollen phases</t>
  </si>
  <si>
    <t>PRJNA347903</t>
  </si>
  <si>
    <t>SAMN05898492</t>
  </si>
  <si>
    <t>SRS1739228</t>
  </si>
  <si>
    <t>Mature cotyledonary stage</t>
  </si>
  <si>
    <t>Embryo</t>
  </si>
  <si>
    <t>EMB4</t>
  </si>
  <si>
    <t>Portugal, Embryo mature cotyledonary stage</t>
  </si>
  <si>
    <t>SAMN05898491</t>
  </si>
  <si>
    <t>SRS1739227</t>
  </si>
  <si>
    <t>Immature cotyledonary stage</t>
  </si>
  <si>
    <t>EMB3</t>
  </si>
  <si>
    <t>Portugal, Embryo immature cotyledonary stage</t>
  </si>
  <si>
    <t>SAMN05898490</t>
  </si>
  <si>
    <t>SRS1739226</t>
  </si>
  <si>
    <t>Heart/torpedo stage</t>
  </si>
  <si>
    <t>EMB2</t>
  </si>
  <si>
    <t>Portugal, Embryo heart/torpedo stage</t>
  </si>
  <si>
    <t>SAMN05898489</t>
  </si>
  <si>
    <t>SRS1739225</t>
  </si>
  <si>
    <t>Globular stage</t>
  </si>
  <si>
    <t>EMB1</t>
  </si>
  <si>
    <t>Portugal, Embryo globular stage</t>
  </si>
  <si>
    <t>PRJNA309826</t>
  </si>
  <si>
    <t>SAMN04440762</t>
  </si>
  <si>
    <t>SRS1262104</t>
  </si>
  <si>
    <t>badcorkLM</t>
  </si>
  <si>
    <t>Phellogen</t>
  </si>
  <si>
    <t>Young stems, 1y branches</t>
  </si>
  <si>
    <t>Portugal, Comparison of expression of phellogen genes in good and bad quality cork</t>
  </si>
  <si>
    <t>SAMN04440763</t>
  </si>
  <si>
    <t>goodcorkLM</t>
  </si>
  <si>
    <t>PRJNA275997</t>
  </si>
  <si>
    <t>SAMN03360497</t>
  </si>
  <si>
    <t>SRS851887</t>
  </si>
  <si>
    <t>2mo</t>
  </si>
  <si>
    <t>Root transcriptome under medium drought conditions</t>
  </si>
  <si>
    <t>D50</t>
  </si>
  <si>
    <t>SAMN03360498</t>
  </si>
  <si>
    <t>SRS851883</t>
  </si>
  <si>
    <t>Root transcriptome under severe drought conditions</t>
  </si>
  <si>
    <t>D25/10</t>
  </si>
  <si>
    <t>SAMN03360444</t>
  </si>
  <si>
    <t>SRS851885</t>
  </si>
  <si>
    <t>Root transcriptome under well watered conditions</t>
  </si>
  <si>
    <t>D100/90</t>
  </si>
  <si>
    <t>PRJNA256026</t>
  </si>
  <si>
    <t>SAMN02935451</t>
  </si>
  <si>
    <t>SRS666753</t>
  </si>
  <si>
    <t>SAMN02935533</t>
  </si>
  <si>
    <t>SRS716795</t>
  </si>
  <si>
    <t>Portugal</t>
  </si>
  <si>
    <t>PRJNA277884</t>
  </si>
  <si>
    <t>SAMN03398613</t>
  </si>
  <si>
    <t>SRS872382</t>
  </si>
  <si>
    <t>16 months</t>
  </si>
  <si>
    <t>Portugal, Four plants grown from acorn, Thin white roots infected with P.cinnamomi</t>
  </si>
  <si>
    <t>RIE</t>
  </si>
  <si>
    <t>SAMN03398611</t>
  </si>
  <si>
    <t>SRS872381</t>
  </si>
  <si>
    <t>Portugal, Four plants grown from acorn, Thin white roots NON-infected with P.cinnamomi</t>
  </si>
  <si>
    <t>RCE</t>
  </si>
  <si>
    <t>SAMN03398607</t>
  </si>
  <si>
    <t>SRS872360</t>
  </si>
  <si>
    <t>Germinated acorns, 8cm</t>
  </si>
  <si>
    <t>RIZ (RA)</t>
  </si>
  <si>
    <t>Portugal, Roots from germinated acorns infected with P. cinnamomi zoospores (8h, 20h, 36h)</t>
  </si>
  <si>
    <t>SAMN03397812</t>
  </si>
  <si>
    <t>SRS872225</t>
  </si>
  <si>
    <t>Germinated acorns, 8 cm</t>
  </si>
  <si>
    <t>RC (RA)</t>
  </si>
  <si>
    <t>Portugal, Roots non-infected with P.cinnamomi (NI) from germinated acorns (0h, 8h, 20h, 36h)</t>
  </si>
  <si>
    <t>PRJNA218877</t>
  </si>
  <si>
    <t>SAMN02355983</t>
  </si>
  <si>
    <t>SRS487522</t>
  </si>
  <si>
    <t>cork</t>
  </si>
  <si>
    <t>cc 100y</t>
  </si>
  <si>
    <t>Cork</t>
  </si>
  <si>
    <t>Portugal, Small RNA transcriptome</t>
  </si>
  <si>
    <t>SAMN02355982</t>
  </si>
  <si>
    <t>SRS480225</t>
  </si>
  <si>
    <t>leaf</t>
  </si>
  <si>
    <t>PRJNA218509</t>
  </si>
  <si>
    <t>SAMN02351107</t>
  </si>
  <si>
    <t>SRS489988</t>
  </si>
  <si>
    <t>Portugal, Pool of five trees that produce bad quality cork</t>
  </si>
  <si>
    <t>Fellogenic tissue_BQC</t>
  </si>
  <si>
    <t>SAMN02351106</t>
  </si>
  <si>
    <t>SRS481410</t>
  </si>
  <si>
    <t>Portugal, Pool of five trees that produce good quality cork</t>
  </si>
  <si>
    <t>Mature trees</t>
  </si>
  <si>
    <t>Fellogenic tissue_GQC</t>
  </si>
  <si>
    <t>SAMN00014893</t>
  </si>
  <si>
    <t>SRS083081</t>
  </si>
  <si>
    <t>Bad quality cork</t>
  </si>
  <si>
    <t>cork2M</t>
  </si>
  <si>
    <t>SAMN00014892</t>
  </si>
  <si>
    <t>SRS083080</t>
  </si>
  <si>
    <t>Good quality cork</t>
  </si>
  <si>
    <t>cork1</t>
  </si>
  <si>
    <t>doi: 10.3389/fpls.2015.01195</t>
  </si>
  <si>
    <t>https://doi.org/10.1186/1471-2164-15-371</t>
  </si>
  <si>
    <t>ERR490206</t>
  </si>
  <si>
    <t>ERR490207</t>
  </si>
  <si>
    <t>ERR490205</t>
  </si>
  <si>
    <t>ERR490204</t>
  </si>
  <si>
    <t>ERR490203</t>
  </si>
  <si>
    <t>ERR490202</t>
  </si>
  <si>
    <t>ERR490201</t>
  </si>
  <si>
    <t>ERR167170</t>
  </si>
  <si>
    <t>ERR167169</t>
  </si>
  <si>
    <t>ERR167168</t>
  </si>
  <si>
    <t>ERR167167</t>
  </si>
  <si>
    <t>ERR167187</t>
  </si>
  <si>
    <t>ERR167186</t>
  </si>
  <si>
    <t>ERR167185</t>
  </si>
  <si>
    <t>ERR167184</t>
  </si>
  <si>
    <t>ERR167183</t>
  </si>
  <si>
    <t>ERR167182</t>
  </si>
  <si>
    <t>ERR167181</t>
  </si>
  <si>
    <t>ERR167180</t>
  </si>
  <si>
    <t>ERR167179</t>
  </si>
  <si>
    <t>ERR167178</t>
  </si>
  <si>
    <t>ERR167177</t>
  </si>
  <si>
    <t>ERR167176</t>
  </si>
  <si>
    <t>ERR167175</t>
  </si>
  <si>
    <t>ERR167174</t>
  </si>
  <si>
    <t>ERR167173</t>
  </si>
  <si>
    <t>ERR167172</t>
  </si>
  <si>
    <t>ERR167171</t>
  </si>
  <si>
    <t>SRR5986737</t>
  </si>
  <si>
    <t>SRR5986738</t>
  </si>
  <si>
    <t>SRR5986739</t>
  </si>
  <si>
    <t>SRR5986740</t>
  </si>
  <si>
    <t>SRR5986741</t>
  </si>
  <si>
    <t>SRR3383083</t>
  </si>
  <si>
    <t>SRR5345606</t>
  </si>
  <si>
    <t>SRR5345607</t>
  </si>
  <si>
    <t>SRR4417263</t>
  </si>
  <si>
    <t>SRR4417262</t>
  </si>
  <si>
    <t>SRR4417261</t>
  </si>
  <si>
    <t>SRR4417260</t>
  </si>
  <si>
    <t>SRR3119872</t>
  </si>
  <si>
    <t>SRR3119876</t>
  </si>
  <si>
    <t>SRR1812375</t>
  </si>
  <si>
    <t>SRR1812376</t>
  </si>
  <si>
    <t>SRR1812377</t>
  </si>
  <si>
    <t>SRR1609152</t>
  </si>
  <si>
    <t>SRR1609153</t>
  </si>
  <si>
    <t>SRR1924200</t>
  </si>
  <si>
    <t>SRR1924199</t>
  </si>
  <si>
    <t>SRR1924198</t>
  </si>
  <si>
    <t>SRR1943052</t>
  </si>
  <si>
    <t>SRR988109</t>
  </si>
  <si>
    <t>SRR988108</t>
  </si>
  <si>
    <t>SRR1009172</t>
  </si>
  <si>
    <t>SRR1009171</t>
  </si>
  <si>
    <t>SRR057582</t>
  </si>
  <si>
    <t>SRR057583</t>
  </si>
  <si>
    <t>Phloem</t>
  </si>
  <si>
    <t>Adult trees</t>
  </si>
  <si>
    <t>Annual stems from cork producing Quercus suber x cerris hybrid trees</t>
  </si>
  <si>
    <t>Annual stems from cork non-producing Quercus suber x cerris hybrid trees</t>
  </si>
  <si>
    <t>High quality cork</t>
  </si>
  <si>
    <t>Low quality cork</t>
  </si>
  <si>
    <t>Abiotic stress: control (leaves)</t>
  </si>
  <si>
    <t>Abiotic stress: cold (leaves)</t>
  </si>
  <si>
    <t>Seed germination</t>
  </si>
  <si>
    <t>Seeds</t>
  </si>
  <si>
    <t>Xylen</t>
  </si>
  <si>
    <t>Raw reads were cleaned by removing adaptor sequences, empty reads and low quality sequences</t>
  </si>
  <si>
    <t>Raw reads were filtered by the barcode sequence corresponding to this sample, then adaptors were removed, as well as empty reads and low quality sequences</t>
  </si>
  <si>
    <t>%Bases kept</t>
  </si>
  <si>
    <t>Sickle</t>
  </si>
  <si>
    <t>%Seq. kept</t>
  </si>
  <si>
    <t>In Seq.</t>
  </si>
  <si>
    <t>Out Seq.</t>
  </si>
  <si>
    <t>In Bases</t>
  </si>
  <si>
    <t>Out Bases</t>
  </si>
  <si>
    <t>featureCounts</t>
  </si>
  <si>
    <t>-</t>
  </si>
  <si>
    <t>Assigned</t>
  </si>
  <si>
    <t>Unmapped</t>
  </si>
  <si>
    <t>MultiMapping</t>
  </si>
  <si>
    <t>NoFeatures</t>
  </si>
  <si>
    <t>Ambiguity</t>
  </si>
  <si>
    <t>IC_10A</t>
  </si>
  <si>
    <t>IC_25C</t>
  </si>
  <si>
    <t>IC_25H</t>
  </si>
  <si>
    <t>IC_42A</t>
  </si>
  <si>
    <t>%Successfully Assigned</t>
  </si>
  <si>
    <t>TagCleaner</t>
  </si>
  <si>
    <t>PrinSeq</t>
  </si>
  <si>
    <t>reads were already pre-processed</t>
  </si>
  <si>
    <t>Roots,shoots</t>
  </si>
  <si>
    <t>Red bud (3), open bud (4)</t>
  </si>
  <si>
    <t>Dormant bud (1), swollen bud (2)</t>
  </si>
  <si>
    <t>QuercusSuber_DevelopmentState_1_Embryo</t>
  </si>
  <si>
    <t>QuercusSuber_DevelopmentState_2_Embryo</t>
  </si>
  <si>
    <t>QuercusSuber_DevelopmentState_3_Embryo</t>
  </si>
  <si>
    <t>QuercusSuber_DevelopmentState_4_Embryo</t>
  </si>
  <si>
    <t>ERS…</t>
  </si>
  <si>
    <t>GOODQUALITYCORK-RL7</t>
  </si>
  <si>
    <t>BADQUALITYCORK-RL6</t>
  </si>
  <si>
    <t>Female flower RNAseq</t>
  </si>
  <si>
    <t>Male flower RNAseq</t>
  </si>
  <si>
    <t>QuercusSuber_BudSproutingDevelopmentStages_3-4</t>
  </si>
  <si>
    <t>QuercusSuber_BudSproutingDevelopmentStages_1-2</t>
  </si>
  <si>
    <t>Publication date</t>
  </si>
  <si>
    <t>Last update</t>
  </si>
  <si>
    <t>Submission Date</t>
  </si>
  <si>
    <t>Sample Name</t>
  </si>
  <si>
    <t>Title</t>
  </si>
  <si>
    <t>Name</t>
  </si>
  <si>
    <t>e-mail</t>
  </si>
  <si>
    <t>First</t>
  </si>
  <si>
    <t>Last</t>
  </si>
  <si>
    <t>Biomaterial provider</t>
  </si>
  <si>
    <t>Geographic location</t>
  </si>
  <si>
    <t>Age</t>
  </si>
  <si>
    <t>Collection date</t>
  </si>
  <si>
    <t>Development Stage</t>
  </si>
  <si>
    <t>When (status)</t>
  </si>
  <si>
    <t>2011-04-15T11:15:54.423</t>
  </si>
  <si>
    <t>2013-06-12T08:57:37.730</t>
  </si>
  <si>
    <t>2011-03-28T18:10:46.060</t>
  </si>
  <si>
    <t>Jorge</t>
  </si>
  <si>
    <t>Paiva</t>
  </si>
  <si>
    <t>Instituto de Investigação Cientifica Tropical</t>
  </si>
  <si>
    <t>jorgep@itqb.unl.pt</t>
  </si>
  <si>
    <t>Phone</t>
  </si>
  <si>
    <t>Lab</t>
  </si>
  <si>
    <t>Centro das Florestas e dos Produtos Tropicais</t>
  </si>
  <si>
    <t>2012-03-13T16:41:00.233</t>
  </si>
  <si>
    <t>2011-04-15T11:16:17.840</t>
  </si>
  <si>
    <t>2013-06-12T08:56:40.217</t>
  </si>
  <si>
    <t>2011-03-28T18:10:46.043</t>
  </si>
  <si>
    <t>2013-09-09T09:44:34.993</t>
  </si>
  <si>
    <t>2013-09-09T10:44:02.803</t>
  </si>
  <si>
    <t>2014-03-07T15:49:52.676</t>
  </si>
  <si>
    <t>pool of five trees that produce bad quality cork</t>
  </si>
  <si>
    <t>Biocant</t>
  </si>
  <si>
    <t>amfortes@fc.ul.pt</t>
  </si>
  <si>
    <t>Rita</t>
  </si>
  <si>
    <t>Teixeira</t>
  </si>
  <si>
    <t>Portugal: Alentejo</t>
  </si>
  <si>
    <t>http://transcriptomics.biocant.pt/suber_rt/</t>
  </si>
  <si>
    <t>Link</t>
  </si>
  <si>
    <t>2013-09-09T09:44:34.897</t>
  </si>
  <si>
    <t>2013-09-09T10:44:03.270</t>
  </si>
  <si>
    <t>2014-03-07T15:49:52.630</t>
  </si>
  <si>
    <t>pool of five trees that produce good quality cork</t>
  </si>
  <si>
    <t>2015-03-28T06:57:28.973</t>
  </si>
  <si>
    <t>2014-07-24T03:44:21.537</t>
  </si>
  <si>
    <t>Female flower RNAseq from Quercus suber</t>
  </si>
  <si>
    <t>Universidade do Minho</t>
  </si>
  <si>
    <t>manuela.costa@bio.uminho.pt</t>
  </si>
  <si>
    <t>Maria</t>
  </si>
  <si>
    <t>Costa</t>
  </si>
  <si>
    <t>Campus de Gualtar Braga</t>
  </si>
  <si>
    <t>2015-03-31T06:57:54.820</t>
  </si>
  <si>
    <t>2014-07-24T03:40:20.793</t>
  </si>
  <si>
    <t>Male flower RNAseq from Quercus suber</t>
  </si>
  <si>
    <t>2015-06-30T00:45:10.153</t>
  </si>
  <si>
    <t>2015-02-20T15:31:33.090</t>
  </si>
  <si>
    <t>root sample from Quercus suber</t>
  </si>
  <si>
    <t>xandinho2468@gmail.com</t>
  </si>
  <si>
    <t>Alexandre</t>
  </si>
  <si>
    <t>Magalhaes</t>
  </si>
  <si>
    <t>ISA</t>
  </si>
  <si>
    <t>2 months</t>
  </si>
  <si>
    <t>Treatment</t>
  </si>
  <si>
    <t>severe drought conditions</t>
  </si>
  <si>
    <t>2015-07-01T06:53:34.590</t>
  </si>
  <si>
    <t>2015-02-20T15:28:18.307</t>
  </si>
  <si>
    <t>Root sample from Quercus suber</t>
  </si>
  <si>
    <t>Medium drought</t>
  </si>
  <si>
    <t>2015-07-01T06:53:34.483</t>
  </si>
  <si>
    <t>2015-02-20T15:24:48.093</t>
  </si>
  <si>
    <t>well Watered</t>
  </si>
  <si>
    <t>2015-03-11T07:36:20.677</t>
  </si>
  <si>
    <t>2015-03-11T18:38:38.547</t>
  </si>
  <si>
    <t>Plant sample from Quercus suber</t>
  </si>
  <si>
    <t>Roots from 16-month-old plants infected with Phytophthora cinnamomi</t>
  </si>
  <si>
    <t>Universidade do Algarve</t>
  </si>
  <si>
    <t>acravad@ualg.pt</t>
  </si>
  <si>
    <t>Alfredo</t>
  </si>
  <si>
    <t>Cravador</t>
  </si>
  <si>
    <t>Isolate</t>
  </si>
  <si>
    <t>Four plants grown from acorns</t>
  </si>
  <si>
    <t>Portugal: Algarve, Alentejo. Spain: Andalusia</t>
  </si>
  <si>
    <t>Sample Type</t>
  </si>
  <si>
    <t>Thin white roots infected with P. cinnamomi</t>
  </si>
  <si>
    <t>2015-03-11T07:24:23.923</t>
  </si>
  <si>
    <t>2015-03-11T18:24:16.673</t>
  </si>
  <si>
    <t>Roots from 16-month-old plants non-infected with Phytophthora cinnamomi</t>
  </si>
  <si>
    <t>Thin white roots</t>
  </si>
  <si>
    <t>2015-03-11T06:40:34.543</t>
  </si>
  <si>
    <t>2015-03-11T17:48:34.333</t>
  </si>
  <si>
    <t>Roots from germinated acorns infected with Phytophthora cinnamomi zoospores</t>
  </si>
  <si>
    <t>Acorns from Tapada da Ajuda and several locations in Algarve and Alentejo</t>
  </si>
  <si>
    <t>germinated acorns</t>
  </si>
  <si>
    <t>Portugal:Lisboa, Algarve, Alentejo</t>
  </si>
  <si>
    <t>Height or Length</t>
  </si>
  <si>
    <t>8 cm length</t>
  </si>
  <si>
    <t>tissue sample infected with Phytophthora cinnamom</t>
  </si>
  <si>
    <t>2015-03-10T18:58:34.310</t>
  </si>
  <si>
    <t>2015-03-11T15:15:25.393</t>
  </si>
  <si>
    <t>Roots from Quercus suber</t>
  </si>
  <si>
    <t>Roots non-infected with P. cinnamomi (NI) from germinated acorns</t>
  </si>
  <si>
    <t>A. P.</t>
  </si>
  <si>
    <t>Middle</t>
  </si>
  <si>
    <t>2016-01-26T11:05:03.058</t>
  </si>
  <si>
    <t>2016-01-26T11:05:03.161</t>
  </si>
  <si>
    <t>GoodcorkLM from Quercus suber</t>
  </si>
  <si>
    <t>ISA_UL</t>
  </si>
  <si>
    <t>Teresa</t>
  </si>
  <si>
    <t>young stems</t>
  </si>
  <si>
    <t>one year</t>
  </si>
  <si>
    <t>2016-01-26T11:04:02.787</t>
  </si>
  <si>
    <t>2016-01-26T11:19:14.287</t>
  </si>
  <si>
    <t>2016-01-26T11:04:02.893</t>
  </si>
  <si>
    <t>BadcorkLM from Quercus suber</t>
  </si>
  <si>
    <t>one-year branches</t>
  </si>
  <si>
    <t>2017-05-04T18:37:22.440</t>
  </si>
  <si>
    <t>2016-04-14T10:23:06.870</t>
  </si>
  <si>
    <t>Phellem tissue from Quercus suber</t>
  </si>
  <si>
    <t>Universitat de Girona</t>
  </si>
  <si>
    <t>pauboher@gmail.com</t>
  </si>
  <si>
    <t>Pau</t>
  </si>
  <si>
    <t>Boher</t>
  </si>
  <si>
    <t>not aplicable</t>
  </si>
  <si>
    <t>15-20 year-old field-grown trees</t>
  </si>
  <si>
    <t>Spain:La Bisbal</t>
  </si>
  <si>
    <t>2017-03-15T00:00:00.000</t>
  </si>
  <si>
    <t>2017-03-15T13:58:26.930</t>
  </si>
  <si>
    <t>2017-03-15T07:23:03.100</t>
  </si>
  <si>
    <t>CEBAL - Centro de Biotecnologia Agricola e Agro-alimentar do Alentejo</t>
  </si>
  <si>
    <t>http://www.cebal.pt</t>
  </si>
  <si>
    <t>ana.usie@cebal.pt</t>
  </si>
  <si>
    <t>Ana</t>
  </si>
  <si>
    <t>Usie</t>
  </si>
  <si>
    <t>not applicable</t>
  </si>
  <si>
    <t>(3) red bud and (4) open bud</t>
  </si>
  <si>
    <t>Portugal: Monte de Fava (Ermidas do Sado)</t>
  </si>
  <si>
    <t>2017-03-15T13:58:27.150</t>
  </si>
  <si>
    <t>2017-03-15T07:23:02.853</t>
  </si>
  <si>
    <t>Early_stages</t>
  </si>
  <si>
    <t>(1) dormant bud and (2) bud swollen</t>
  </si>
  <si>
    <t>2017-03-15T07:23:02.852</t>
  </si>
  <si>
    <t>2017-09-30T00:50:14.213</t>
  </si>
  <si>
    <t>2017-10-19T15:12:14.310</t>
  </si>
  <si>
    <t>2017-07-03T13:42:02.473</t>
  </si>
  <si>
    <t>Quercus suber material from HL8 tree</t>
  </si>
  <si>
    <t>CEBAL</t>
  </si>
  <si>
    <t>http://www.cebal.pt/</t>
  </si>
  <si>
    <t>psbpedrobarbosa@gmail.com</t>
  </si>
  <si>
    <t>Pedro</t>
  </si>
  <si>
    <t>Barbosa</t>
  </si>
  <si>
    <t>This individual was chosen based on a microsatellite study performed on trees with good cork quality in order to choose the one with the least heterozygosity rate</t>
  </si>
  <si>
    <t>120-150 y</t>
  </si>
  <si>
    <t>Portugal:Montargil</t>
  </si>
  <si>
    <t>2014-03-31T00:00:00.000</t>
  </si>
  <si>
    <t>2019-01-15T23:47:00.750</t>
  </si>
  <si>
    <t>2014-05-07T08:33:58.797</t>
  </si>
  <si>
    <t>L-11</t>
  </si>
  <si>
    <t>L-12</t>
  </si>
  <si>
    <t>L-13</t>
  </si>
  <si>
    <t>L-16</t>
  </si>
  <si>
    <t>EBI</t>
  </si>
  <si>
    <t>2015-08-08T14:37:56</t>
  </si>
  <si>
    <t>2019-01-15T23:47:00.530</t>
  </si>
  <si>
    <t>2014-05-07T08:33:58.753</t>
  </si>
  <si>
    <t>Abiotic Stress: control (leaves)</t>
  </si>
  <si>
    <t>2019-01-15T23:47:00.080</t>
  </si>
  <si>
    <t>2014-05-07T08:33:58.707</t>
  </si>
  <si>
    <t>Xylem (adult trees)</t>
  </si>
  <si>
    <t>2015-08-08T14:37:55</t>
  </si>
  <si>
    <t>2019-01-15T23:51:34.700</t>
  </si>
  <si>
    <t>2014-05-07T08:33:58.660</t>
  </si>
  <si>
    <t>Phloem (adult trees)</t>
  </si>
  <si>
    <t>2019-01-15T23:51:34.310</t>
  </si>
  <si>
    <t>2014-05-07T08:33:58.607</t>
  </si>
  <si>
    <t>2019-01-15T23:51:34.513</t>
  </si>
  <si>
    <t>2014-05-07T08:33:58.543</t>
  </si>
  <si>
    <t>2019-01-15T23:51:33.937</t>
  </si>
  <si>
    <t>2014-05-07T08:33:58.297</t>
  </si>
  <si>
    <t>2018-03-06T08:13:14</t>
  </si>
  <si>
    <t>2019-01-15T23:51:33.733</t>
  </si>
  <si>
    <t>2014-05-07T08:33:58.253</t>
  </si>
  <si>
    <t>Abiotic Stress: drought, salt and oxidative stresses (roots and shoots)</t>
  </si>
  <si>
    <t>2019-01-15T15:24:19.163</t>
  </si>
  <si>
    <t>2014-05-07T08:33:58.210</t>
  </si>
  <si>
    <t>2019-01-15T23:51:34.107</t>
  </si>
  <si>
    <t>2014-05-07T08:33:58.153</t>
  </si>
  <si>
    <t>2019-01-15T23:51:33.513</t>
  </si>
  <si>
    <t>2014-05-07T08:33:58.110</t>
  </si>
  <si>
    <t>Annual stems from non-cork producing trees</t>
  </si>
  <si>
    <t>2019-01-15T23:51:33.310</t>
  </si>
  <si>
    <t>2014-05-07T08:33:58.047</t>
  </si>
  <si>
    <t>Annual stems from cork producing trees</t>
  </si>
  <si>
    <t>2019-01-15T23:51:33.123</t>
  </si>
  <si>
    <t>2014-05-07T08:33:58.007</t>
  </si>
  <si>
    <t>2019-01-15T23:51:32.937</t>
  </si>
  <si>
    <t>2014-05-07T08:33:57.967</t>
  </si>
  <si>
    <t>2019-01-15T23:51:32.747</t>
  </si>
  <si>
    <t>2014-05-07T08:33:57.890</t>
  </si>
  <si>
    <t>2019-01-15T23:51:32.513</t>
  </si>
  <si>
    <t>2014-05-07T08:33:57.843</t>
  </si>
  <si>
    <t>2019-01-15T23:47:00.330</t>
  </si>
  <si>
    <t>2014-05-07T08:33:57.797</t>
  </si>
  <si>
    <t>2019-01-15T23:46:59.843</t>
  </si>
  <si>
    <t>2014-05-07T08:33:57.540</t>
  </si>
  <si>
    <t>2019-01-15T23:46:59.627</t>
  </si>
  <si>
    <t>2014-05-07T08:33:57.487</t>
  </si>
  <si>
    <t>2019-01-15T23:46:59.390</t>
  </si>
  <si>
    <t>2014-05-07T08:33:56.833</t>
  </si>
  <si>
    <t>Germinating seeds</t>
  </si>
  <si>
    <t>2019-01-15T23:46:59.157</t>
  </si>
  <si>
    <t>2014-05-07T08:33:56.757</t>
  </si>
  <si>
    <t>2014-04-30T00:00:00.000</t>
  </si>
  <si>
    <t>2019-01-15T11:40:08.703</t>
  </si>
  <si>
    <t>2014-05-07T08:33:42.793</t>
  </si>
  <si>
    <t>Collection Date</t>
  </si>
  <si>
    <t>June - November 2009</t>
  </si>
  <si>
    <t>2015-08-07T22:56:17.217</t>
  </si>
  <si>
    <t>2019-01-15T11:40:08.937</t>
  </si>
  <si>
    <t>2014-05-07T08:33:42.730</t>
  </si>
  <si>
    <t>2015-08-07T22:56:17.187</t>
  </si>
  <si>
    <t>2019-01-15T11:40:08.500</t>
  </si>
  <si>
    <t>2014-05-07T08:33:42.663</t>
  </si>
  <si>
    <t>cork oak acorns at developmental stage S8</t>
  </si>
  <si>
    <t>2015-08-07T22:56:17.160</t>
  </si>
  <si>
    <t>2019-01-15T11:40:08.233</t>
  </si>
  <si>
    <t>2014-05-07T08:33:42.613</t>
  </si>
  <si>
    <t>cork oak acorns at developmental stage S5</t>
  </si>
  <si>
    <t>2015-08-07T22:56:17.130</t>
  </si>
  <si>
    <t>2019-01-15T11:40:08.013</t>
  </si>
  <si>
    <t>2014-05-07T08:33:42.543</t>
  </si>
  <si>
    <t>cork oak acorns at developmental stages S3 and S4</t>
  </si>
  <si>
    <t>2015-08-07T22:56:17.103</t>
  </si>
  <si>
    <t>2019-01-15T11:40:07.593</t>
  </si>
  <si>
    <t>2014-05-07T08:33:42.490</t>
  </si>
  <si>
    <t>cork oak acorns at developmental stage S2</t>
  </si>
  <si>
    <t>2015-08-07T22:56:17.080</t>
  </si>
  <si>
    <t>2019-01-15T11:40:07.780</t>
  </si>
  <si>
    <t>2014-05-07T08:33:42.407</t>
  </si>
  <si>
    <t>cork oak acorns at developmental stage S1</t>
  </si>
  <si>
    <t>2015-08-07T22:56:17.053</t>
  </si>
  <si>
    <t>ITQB NOVA and iBET</t>
  </si>
  <si>
    <t>Leaf</t>
  </si>
  <si>
    <t>ISA (half-siblings)</t>
  </si>
  <si>
    <t>IC10A</t>
  </si>
  <si>
    <t>IC25C</t>
  </si>
  <si>
    <t>IC25H</t>
  </si>
  <si>
    <t>IC42A</t>
  </si>
  <si>
    <t>IC5C</t>
  </si>
  <si>
    <t>Cold acclimation</t>
  </si>
  <si>
    <t>Leaf transcriptome after cold acclimation treatment. Temperature decrease from 25ºC(day)/20ºC(night) to 10ºC(day)/5ºC(night), 1ºC per day (12h/12h photoperiod). Pool of leaves collected at 15ºC and 10ºC timepoints.</t>
  </si>
  <si>
    <t>Cold shock (5ºC)</t>
  </si>
  <si>
    <t>Leaf transcriptome after cold shock treatment, 5h at 5ºC (12h/12h photoperiod). Pool of leaves from 2h, 5h and 10h after stress.</t>
  </si>
  <si>
    <t>Control 25ºC (cold assay)</t>
  </si>
  <si>
    <t xml:space="preserve">Leaf transcriptome after control conditions 25ºC(day)/20ºC(night) (12h/12h photoperiod). </t>
  </si>
  <si>
    <t>Control 25ºC (heat assay)</t>
  </si>
  <si>
    <t>Leaf transcriptome after control conditions 25ºC(day)/20ºC(night) (12h/12h photoperiod)</t>
  </si>
  <si>
    <t>Heat acclimation</t>
  </si>
  <si>
    <t>Leaf transcriptome after heat acclimation treatment. Temperature increase from 25ºC(day)/20ºC(night) to 42ºC(day)/37ºC(night), 1ºC per day (12h/12h photoperiod). Pool of leaves collected at 32ºC, 38ºC and 42ºC timepoints</t>
  </si>
  <si>
    <t>Heat shock (42ºC)</t>
  </si>
  <si>
    <t>Leaf transcriptome after heat shock treatment, 10h at 42ºC (12h/12h photoperiod). Pool of leaves from 2h, 5h and 10h after stress.</t>
  </si>
  <si>
    <t>Inês Chaves, Margarida Oliveira</t>
  </si>
  <si>
    <t>IC_5C</t>
  </si>
  <si>
    <t>IC_42HS</t>
  </si>
  <si>
    <t>IC42HS</t>
  </si>
  <si>
    <t>mRNA-Seq of Quercus suber: embryo mature cotyledonary stage</t>
  </si>
  <si>
    <t>RNA-seq library preparation and sequencing was performed by Beijing Genomics Institute BGI (Hong-Kong, China). cDNA synthesis and paired-end library was prepared following the protocol of Illumina® TruSeq RNA Library Preparation kit and sequenced in one lane using the Illumina HiSeqTM 2000 platform, with a read length of 100nt. Raw reads were cleaned by removing adaptor sequences, empty reads and low quality sequences</t>
  </si>
  <si>
    <t>Animal Genomics and Bioinformatics</t>
  </si>
  <si>
    <t>The transcriptome of the cork oak somatic embryogenesis was characterized in four stages of embryo development, from globular to mature cotyledonary, to identify relevant genes, namely transcription regulators and genes related with hormone biosynthesis, response, signalling, receptors and metabolism in order to understand the molecular and biochemical events occurring in each specific stage of development.</t>
  </si>
  <si>
    <t>Portugal: Cercal do Alentejo</t>
  </si>
  <si>
    <t>immature cotyledonary stage</t>
  </si>
  <si>
    <t>mRNA-Seq of Quercus suber: embryo immature cotyledonary stage</t>
  </si>
  <si>
    <t>mRNA-Seq of Quercus suber: embryo heart/torpedo stage</t>
  </si>
  <si>
    <t>mRNA-Seq of Quercus suber: embryo globular 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</si>
</sst>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_-* #,##0_-;\-* #,##0_-;_-* &quot;-&quot;??_-;_-@_-"/>
  </numFmts>
  <fonts count="19" x14ac:knownFonts="1">
    <font>
      <sz val="11"/>
      <color theme="1"/>
      <name val="Calibri"/>
      <family val="2"/>
      <scheme val="minor"/>
    </font>
    <font>
      <b/>
      <sz val="13"/>
      <color theme="3"/>
      <name val="Calibri"/>
      <family val="2"/>
      <scheme val="minor"/>
    </font>
    <font>
      <sz val="11"/>
      <color theme="0"/>
      <name val="Calibri"/>
      <family val="2"/>
      <scheme val="minor"/>
    </font>
    <font>
      <sz val="12"/>
      <color rgb="FF000000"/>
      <name val="Arial"/>
      <family val="2"/>
    </font>
    <font>
      <b/>
      <sz val="12"/>
      <color theme="3"/>
      <name val="Arial"/>
      <family val="2"/>
    </font>
    <font>
      <sz val="12"/>
      <color theme="1"/>
      <name val="Arial"/>
      <family val="2"/>
    </font>
    <font>
      <u/>
      <sz val="11"/>
      <color theme="10"/>
      <name val="Calibri"/>
      <family val="2"/>
      <scheme val="minor"/>
    </font>
    <font>
      <sz val="12"/>
      <color theme="0"/>
      <name val="Arial"/>
      <family val="2"/>
    </font>
    <font>
      <sz val="11"/>
      <color theme="1"/>
      <name val="Calibri"/>
      <family val="2"/>
      <scheme val="minor"/>
    </font>
    <font>
      <b/>
      <sz val="11"/>
      <color theme="3"/>
      <name val="Calibri"/>
      <family val="2"/>
      <scheme val="minor"/>
    </font>
    <font>
      <b/>
      <sz val="11"/>
      <color theme="1"/>
      <name val="Calibri"/>
      <family val="2"/>
      <scheme val="minor"/>
    </font>
    <font>
      <b/>
      <sz val="13"/>
      <color theme="3"/>
      <name val="Arial"/>
      <family val="2"/>
    </font>
    <font>
      <sz val="11"/>
      <color theme="1"/>
      <name val="Arial"/>
      <family val="2"/>
    </font>
    <font>
      <b/>
      <sz val="11"/>
      <color theme="3"/>
      <name val="Arial"/>
      <family val="2"/>
    </font>
    <font>
      <sz val="10"/>
      <color theme="1"/>
      <name val="Calibri"/>
      <family val="2"/>
      <scheme val="minor"/>
    </font>
    <font>
      <b/>
      <sz val="10"/>
      <color theme="3"/>
      <name val="Calibri"/>
      <family val="2"/>
      <scheme val="minor"/>
    </font>
    <font>
      <sz val="10"/>
      <name val="Calibri"/>
      <family val="2"/>
      <scheme val="minor"/>
    </font>
    <font>
      <sz val="11"/>
      <name val="Calibri"/>
      <family val="2"/>
      <scheme val="minor"/>
    </font>
    <font>
      <sz val="11"/>
      <name val="Arial"/>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0" tint="-4.9989318521683403E-2"/>
        <bgColor indexed="64"/>
      </patternFill>
    </fill>
    <fill>
      <patternFill patternType="solid">
        <fgColor theme="8" tint="0.59999389629810485"/>
        <bgColor indexed="65"/>
      </patternFill>
    </fill>
    <fill>
      <patternFill patternType="solid">
        <fgColor theme="6" tint="0.59999389629810485"/>
        <bgColor indexed="65"/>
      </patternFill>
    </fill>
    <fill>
      <patternFill patternType="solid">
        <fgColor theme="0" tint="-0.14999847407452621"/>
        <bgColor indexed="64"/>
      </patternFill>
    </fill>
    <fill>
      <patternFill patternType="solid">
        <fgColor theme="0"/>
        <bgColor indexed="64"/>
      </patternFill>
    </fill>
  </fills>
  <borders count="12">
    <border>
      <left/>
      <right/>
      <top/>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style="double">
        <color theme="3" tint="-0.499984740745262"/>
      </right>
      <top/>
      <bottom/>
      <diagonal/>
    </border>
    <border>
      <left/>
      <right style="double">
        <color theme="3" tint="-0.499984740745262"/>
      </right>
      <top/>
      <bottom style="medium">
        <color theme="4" tint="0.39997558519241921"/>
      </bottom>
      <diagonal/>
    </border>
    <border>
      <left/>
      <right style="double">
        <color theme="3" tint="-0.499984740745262"/>
      </right>
      <top/>
      <bottom style="thick">
        <color theme="4" tint="0.499984740745262"/>
      </bottom>
      <diagonal/>
    </border>
    <border>
      <left/>
      <right style="double">
        <color indexed="64"/>
      </right>
      <top style="medium">
        <color theme="4" tint="0.39997558519241921"/>
      </top>
      <bottom/>
      <diagonal/>
    </border>
    <border>
      <left/>
      <right style="double">
        <color indexed="64"/>
      </right>
      <top/>
      <bottom/>
      <diagonal/>
    </border>
    <border>
      <left/>
      <right style="double">
        <color indexed="64"/>
      </right>
      <top/>
      <bottom style="medium">
        <color theme="4" tint="0.39997558519241921"/>
      </bottom>
      <diagonal/>
    </border>
    <border>
      <left style="double">
        <color indexed="64"/>
      </left>
      <right style="double">
        <color indexed="64"/>
      </right>
      <top/>
      <bottom/>
      <diagonal/>
    </border>
    <border>
      <left style="double">
        <color indexed="64"/>
      </left>
      <right style="double">
        <color indexed="64"/>
      </right>
      <top/>
      <bottom style="medium">
        <color theme="4" tint="0.39997558519241921"/>
      </bottom>
      <diagonal/>
    </border>
  </borders>
  <cellStyleXfs count="10">
    <xf numFmtId="0" fontId="0" fillId="0" borderId="0"/>
    <xf numFmtId="0" fontId="1" fillId="0" borderId="1" applyNumberFormat="0" applyFill="0" applyAlignment="0" applyProtection="0"/>
    <xf numFmtId="0" fontId="2" fillId="2" borderId="0" applyNumberFormat="0" applyBorder="0" applyAlignment="0" applyProtection="0"/>
    <xf numFmtId="0" fontId="6" fillId="0" borderId="0" applyNumberForma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9" fillId="0" borderId="2" applyNumberFormat="0" applyFill="0" applyAlignment="0" applyProtection="0"/>
    <xf numFmtId="0" fontId="10" fillId="0" borderId="3" applyNumberFormat="0" applyFill="0" applyAlignment="0" applyProtection="0"/>
    <xf numFmtId="0" fontId="8" fillId="5" borderId="0" applyNumberFormat="0" applyBorder="0" applyAlignment="0" applyProtection="0"/>
    <xf numFmtId="0" fontId="8" fillId="6" borderId="0" applyNumberFormat="0" applyBorder="0" applyAlignment="0" applyProtection="0"/>
  </cellStyleXfs>
  <cellXfs count="69">
    <xf numFmtId="0" fontId="0" fillId="0" borderId="0" xfId="0"/>
    <xf numFmtId="0" fontId="3" fillId="0" borderId="0" xfId="0" applyFont="1" applyAlignment="1">
      <alignment horizontal="center" vertical="center"/>
    </xf>
    <xf numFmtId="0" fontId="4" fillId="0" borderId="1" xfId="1" applyFont="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7" fillId="2" borderId="0" xfId="2" applyFont="1" applyAlignment="1">
      <alignment horizontal="center" vertical="center"/>
    </xf>
    <xf numFmtId="0" fontId="7" fillId="2" borderId="0" xfId="2" applyFont="1" applyAlignment="1">
      <alignment horizontal="center" vertical="center" wrapText="1"/>
    </xf>
    <xf numFmtId="0" fontId="6" fillId="0" borderId="0" xfId="3" applyAlignment="1">
      <alignment horizontal="center" vertical="center"/>
    </xf>
    <xf numFmtId="0" fontId="4" fillId="0" borderId="6" xfId="1" applyFont="1" applyBorder="1" applyAlignment="1">
      <alignment horizontal="center" vertical="center"/>
    </xf>
    <xf numFmtId="0" fontId="3" fillId="0" borderId="4" xfId="0" applyFont="1" applyBorder="1" applyAlignment="1">
      <alignment horizontal="center" vertical="center"/>
    </xf>
    <xf numFmtId="0" fontId="5" fillId="0" borderId="4" xfId="0" applyFont="1" applyBorder="1" applyAlignment="1">
      <alignment horizontal="center" vertical="center"/>
    </xf>
    <xf numFmtId="0" fontId="3" fillId="0" borderId="4" xfId="0" applyFont="1" applyFill="1" applyBorder="1" applyAlignment="1">
      <alignment horizontal="center" vertical="center"/>
    </xf>
    <xf numFmtId="0" fontId="5" fillId="0" borderId="4" xfId="0" applyFont="1" applyFill="1" applyBorder="1" applyAlignment="1">
      <alignment horizontal="center" vertical="center"/>
    </xf>
    <xf numFmtId="0" fontId="3" fillId="4" borderId="4" xfId="0" applyFont="1" applyFill="1" applyBorder="1" applyAlignment="1">
      <alignment horizontal="center" vertical="center"/>
    </xf>
    <xf numFmtId="0" fontId="5" fillId="4" borderId="4" xfId="0" applyFont="1" applyFill="1" applyBorder="1" applyAlignment="1">
      <alignment horizontal="center" vertical="center"/>
    </xf>
    <xf numFmtId="164" fontId="13" fillId="0" borderId="2" xfId="4" applyNumberFormat="1" applyFont="1" applyBorder="1" applyAlignment="1">
      <alignment horizontal="center" vertical="center"/>
    </xf>
    <xf numFmtId="164" fontId="13" fillId="0" borderId="2" xfId="4" applyNumberFormat="1" applyFont="1" applyFill="1" applyBorder="1" applyAlignment="1">
      <alignment horizontal="center" vertical="center"/>
    </xf>
    <xf numFmtId="10" fontId="13" fillId="0" borderId="5" xfId="5" applyNumberFormat="1" applyFont="1" applyBorder="1" applyAlignment="1">
      <alignment horizontal="center" vertical="center"/>
    </xf>
    <xf numFmtId="10" fontId="13" fillId="0" borderId="5" xfId="5" applyNumberFormat="1" applyFont="1" applyFill="1" applyBorder="1" applyAlignment="1">
      <alignment horizontal="center" vertical="center"/>
    </xf>
    <xf numFmtId="43" fontId="13" fillId="0" borderId="2" xfId="6" applyNumberFormat="1" applyFont="1" applyAlignment="1">
      <alignment horizontal="center" vertical="center"/>
    </xf>
    <xf numFmtId="43" fontId="13" fillId="0" borderId="2" xfId="6" applyNumberFormat="1" applyFont="1" applyFill="1" applyAlignment="1">
      <alignment horizontal="center" vertical="center"/>
    </xf>
    <xf numFmtId="10" fontId="13" fillId="0" borderId="2" xfId="6" applyNumberFormat="1" applyFont="1" applyFill="1" applyAlignment="1">
      <alignment horizontal="center" vertical="center"/>
    </xf>
    <xf numFmtId="164" fontId="12" fillId="0" borderId="0" xfId="4" applyNumberFormat="1" applyFont="1" applyAlignment="1">
      <alignment horizontal="center" vertical="center"/>
    </xf>
    <xf numFmtId="10" fontId="12" fillId="0" borderId="4" xfId="5" applyNumberFormat="1" applyFont="1" applyBorder="1" applyAlignment="1">
      <alignment horizontal="center" vertical="center"/>
    </xf>
    <xf numFmtId="43" fontId="12" fillId="0" borderId="0" xfId="4" applyFont="1" applyAlignment="1">
      <alignment horizontal="center" vertical="center"/>
    </xf>
    <xf numFmtId="10" fontId="12" fillId="0" borderId="0" xfId="5" applyNumberFormat="1" applyFont="1" applyBorder="1" applyAlignment="1">
      <alignment horizontal="center" vertical="center"/>
    </xf>
    <xf numFmtId="164" fontId="12" fillId="4" borderId="0" xfId="4" applyNumberFormat="1" applyFont="1" applyFill="1" applyAlignment="1">
      <alignment horizontal="center" vertical="center"/>
    </xf>
    <xf numFmtId="10" fontId="12" fillId="4" borderId="4" xfId="5" applyNumberFormat="1" applyFont="1" applyFill="1" applyBorder="1" applyAlignment="1">
      <alignment horizontal="center" vertical="center"/>
    </xf>
    <xf numFmtId="164" fontId="12" fillId="0" borderId="0" xfId="4" quotePrefix="1" applyNumberFormat="1" applyFont="1" applyAlignment="1">
      <alignment horizontal="center" vertical="center"/>
    </xf>
    <xf numFmtId="0" fontId="12" fillId="0" borderId="0" xfId="0" applyFont="1" applyAlignment="1">
      <alignment horizontal="center"/>
    </xf>
    <xf numFmtId="0" fontId="12" fillId="0" borderId="4" xfId="0" applyFont="1" applyBorder="1" applyAlignment="1">
      <alignment horizontal="center"/>
    </xf>
    <xf numFmtId="0" fontId="13" fillId="0" borderId="2" xfId="6" applyFont="1" applyAlignment="1">
      <alignment horizontal="center"/>
    </xf>
    <xf numFmtId="0" fontId="5" fillId="0" borderId="4" xfId="0" applyFont="1" applyBorder="1" applyAlignment="1">
      <alignment horizontal="center"/>
    </xf>
    <xf numFmtId="10" fontId="12" fillId="0" borderId="0" xfId="5" applyNumberFormat="1" applyFont="1" applyAlignment="1">
      <alignment horizontal="center"/>
    </xf>
    <xf numFmtId="10" fontId="10" fillId="0" borderId="3" xfId="7" applyNumberFormat="1" applyAlignment="1">
      <alignment horizontal="center"/>
    </xf>
    <xf numFmtId="0" fontId="3" fillId="0" borderId="0" xfId="0" applyFont="1" applyFill="1" applyAlignment="1">
      <alignment horizontal="center" vertical="center"/>
    </xf>
    <xf numFmtId="0" fontId="5" fillId="0"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5" fillId="0" borderId="2" xfId="6" applyFont="1" applyAlignment="1">
      <alignment horizontal="center" vertical="center"/>
    </xf>
    <xf numFmtId="0" fontId="15" fillId="0" borderId="9" xfId="6" applyFont="1" applyBorder="1" applyAlignment="1">
      <alignment horizontal="center" vertical="center"/>
    </xf>
    <xf numFmtId="0" fontId="15" fillId="0" borderId="11" xfId="6" applyFont="1" applyBorder="1" applyAlignment="1">
      <alignment horizontal="center" vertical="center"/>
    </xf>
    <xf numFmtId="0" fontId="14" fillId="5" borderId="0" xfId="8" applyFont="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0" fontId="14" fillId="0" borderId="10" xfId="0" applyFont="1" applyBorder="1" applyAlignment="1">
      <alignment horizontal="center"/>
    </xf>
    <xf numFmtId="2" fontId="14" fillId="0" borderId="0" xfId="0" applyNumberFormat="1" applyFont="1" applyAlignment="1">
      <alignment horizontal="center"/>
    </xf>
    <xf numFmtId="0" fontId="15" fillId="0" borderId="0" xfId="6" applyFont="1" applyBorder="1" applyAlignment="1">
      <alignment horizontal="center" vertical="center"/>
    </xf>
    <xf numFmtId="0" fontId="15" fillId="0" borderId="8" xfId="6" applyFont="1" applyBorder="1" applyAlignment="1">
      <alignment horizontal="center" vertical="center"/>
    </xf>
    <xf numFmtId="0" fontId="8" fillId="6" borderId="0" xfId="9" applyBorder="1" applyAlignment="1">
      <alignment horizontal="center"/>
    </xf>
    <xf numFmtId="0" fontId="8" fillId="6" borderId="0" xfId="9" applyAlignment="1">
      <alignment horizontal="center"/>
    </xf>
    <xf numFmtId="0" fontId="8" fillId="6" borderId="8" xfId="9" applyBorder="1" applyAlignment="1">
      <alignment horizontal="center"/>
    </xf>
    <xf numFmtId="0" fontId="14" fillId="7" borderId="8" xfId="0" applyFont="1" applyFill="1" applyBorder="1" applyAlignment="1">
      <alignment horizontal="center"/>
    </xf>
    <xf numFmtId="0" fontId="14" fillId="7" borderId="0" xfId="0" applyFont="1" applyFill="1" applyAlignment="1">
      <alignment horizontal="center"/>
    </xf>
    <xf numFmtId="0" fontId="16" fillId="5" borderId="0" xfId="8" applyFont="1" applyAlignment="1">
      <alignment horizontal="center"/>
    </xf>
    <xf numFmtId="0" fontId="16" fillId="0" borderId="8" xfId="0" applyFont="1" applyBorder="1" applyAlignment="1">
      <alignment horizontal="center"/>
    </xf>
    <xf numFmtId="0" fontId="16" fillId="0" borderId="0" xfId="0" applyFont="1" applyAlignment="1">
      <alignment horizontal="center"/>
    </xf>
    <xf numFmtId="0" fontId="16" fillId="0" borderId="10" xfId="0" applyFont="1" applyBorder="1" applyAlignment="1">
      <alignment horizontal="center"/>
    </xf>
    <xf numFmtId="0" fontId="17" fillId="6" borderId="0" xfId="9" applyFont="1" applyAlignment="1">
      <alignment horizontal="center"/>
    </xf>
    <xf numFmtId="0" fontId="17" fillId="6" borderId="8" xfId="9" applyFont="1" applyBorder="1" applyAlignment="1">
      <alignment horizontal="center"/>
    </xf>
    <xf numFmtId="0" fontId="16" fillId="7" borderId="8" xfId="0" applyFont="1" applyFill="1" applyBorder="1" applyAlignment="1">
      <alignment horizontal="center"/>
    </xf>
    <xf numFmtId="0" fontId="16" fillId="7" borderId="10" xfId="0" applyFont="1" applyFill="1" applyBorder="1" applyAlignment="1">
      <alignment horizontal="center"/>
    </xf>
    <xf numFmtId="0" fontId="14" fillId="8" borderId="0" xfId="0" applyFont="1" applyFill="1" applyAlignment="1">
      <alignment horizontal="center"/>
    </xf>
    <xf numFmtId="164" fontId="18" fillId="0" borderId="0" xfId="4" applyNumberFormat="1" applyFont="1" applyAlignment="1">
      <alignment horizontal="center" vertical="center"/>
    </xf>
    <xf numFmtId="43" fontId="11" fillId="0" borderId="1" xfId="4" applyFont="1" applyFill="1" applyBorder="1" applyAlignment="1">
      <alignment horizontal="center" vertical="center"/>
    </xf>
    <xf numFmtId="43" fontId="11" fillId="0" borderId="1" xfId="4" applyFont="1" applyBorder="1" applyAlignment="1">
      <alignment horizontal="center" vertical="center"/>
    </xf>
    <xf numFmtId="43" fontId="11" fillId="0" borderId="0" xfId="4" applyFont="1" applyBorder="1" applyAlignment="1">
      <alignment horizontal="center" vertical="center"/>
    </xf>
    <xf numFmtId="0" fontId="14" fillId="0" borderId="0" xfId="0" applyFont="1" applyFill="1" applyAlignment="1">
      <alignment horizontal="center"/>
    </xf>
    <xf numFmtId="0" fontId="14" fillId="0" borderId="10" xfId="0" applyFont="1" applyFill="1" applyBorder="1" applyAlignment="1">
      <alignment horizontal="center"/>
    </xf>
  </cellXfs>
  <cellStyles count="10">
    <cellStyle name="40% - Accent3" xfId="9" builtinId="39"/>
    <cellStyle name="40% - Accent5" xfId="8" builtinId="47"/>
    <cellStyle name="Accent1" xfId="2" builtinId="29"/>
    <cellStyle name="Comma" xfId="4" builtinId="3"/>
    <cellStyle name="Heading 2" xfId="1" builtinId="17"/>
    <cellStyle name="Heading 3" xfId="6" builtinId="18"/>
    <cellStyle name="Hyperlink" xfId="3" builtinId="8"/>
    <cellStyle name="Normal" xfId="0" builtinId="0"/>
    <cellStyle name="Percent" xfId="5" builtinId="5"/>
    <cellStyle name="Total" xfId="7"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i.org/10.1186/1471-2164-15-371"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71"/>
  <sheetViews>
    <sheetView topLeftCell="A21" zoomScale="60" zoomScaleNormal="60" workbookViewId="0">
      <selection activeCell="C10" sqref="C10:C30"/>
    </sheetView>
  </sheetViews>
  <sheetFormatPr defaultRowHeight="15" x14ac:dyDescent="0.25"/>
  <cols>
    <col min="1" max="1" width="18.28515625" style="3" bestFit="1" customWidth="1"/>
    <col min="2" max="2" width="20.140625" style="3" bestFit="1" customWidth="1"/>
    <col min="3" max="4" width="16.85546875" style="3" bestFit="1" customWidth="1"/>
    <col min="5" max="5" width="16.5703125" style="3" bestFit="1" customWidth="1"/>
    <col min="6" max="6" width="16.5703125" style="3" customWidth="1"/>
    <col min="7" max="7" width="37" style="3" bestFit="1" customWidth="1"/>
    <col min="8" max="8" width="9.7109375" style="3" bestFit="1" customWidth="1"/>
    <col min="9" max="9" width="41.5703125" style="3" customWidth="1"/>
    <col min="10" max="10" width="129.28515625" style="3" customWidth="1"/>
    <col min="11" max="16384" width="9.140625" style="3"/>
  </cols>
  <sheetData>
    <row r="1" spans="1:10" ht="16.5" thickBot="1" x14ac:dyDescent="0.3">
      <c r="A1" s="2" t="s">
        <v>6</v>
      </c>
      <c r="B1" s="2" t="s">
        <v>0</v>
      </c>
      <c r="C1" s="2" t="s">
        <v>1</v>
      </c>
      <c r="D1" s="2"/>
      <c r="E1" s="2" t="s">
        <v>3</v>
      </c>
      <c r="F1" s="2"/>
      <c r="G1" s="2" t="s">
        <v>4</v>
      </c>
      <c r="H1" s="2"/>
      <c r="I1" s="2" t="s">
        <v>5</v>
      </c>
      <c r="J1" s="2" t="s">
        <v>2</v>
      </c>
    </row>
    <row r="2" spans="1:10" ht="15.75" thickTop="1" x14ac:dyDescent="0.25">
      <c r="A2" s="5" t="s">
        <v>7</v>
      </c>
      <c r="B2" s="1" t="s">
        <v>8</v>
      </c>
      <c r="C2" s="1" t="s">
        <v>9</v>
      </c>
      <c r="D2" s="1" t="s">
        <v>256</v>
      </c>
      <c r="E2" s="3" t="s">
        <v>11</v>
      </c>
      <c r="F2" s="3" t="s">
        <v>355</v>
      </c>
      <c r="G2" s="3" t="s">
        <v>12</v>
      </c>
      <c r="H2" s="3">
        <v>454</v>
      </c>
      <c r="I2" s="3" t="s">
        <v>13</v>
      </c>
      <c r="J2" s="3" t="s">
        <v>10</v>
      </c>
    </row>
    <row r="3" spans="1:10" x14ac:dyDescent="0.25">
      <c r="A3" s="3" t="s">
        <v>30</v>
      </c>
      <c r="B3" s="1" t="s">
        <v>14</v>
      </c>
      <c r="C3" s="1" t="s">
        <v>15</v>
      </c>
      <c r="D3" s="1" t="s">
        <v>257</v>
      </c>
      <c r="E3" s="3" t="s">
        <v>17</v>
      </c>
      <c r="G3" s="3" t="s">
        <v>12</v>
      </c>
      <c r="H3" s="3" t="s">
        <v>18</v>
      </c>
      <c r="I3" s="3" t="s">
        <v>19</v>
      </c>
      <c r="J3" s="3" t="s">
        <v>16</v>
      </c>
    </row>
    <row r="4" spans="1:10" x14ac:dyDescent="0.25">
      <c r="A4" s="3" t="s">
        <v>30</v>
      </c>
      <c r="B4" s="1" t="s">
        <v>22</v>
      </c>
      <c r="C4" s="1" t="s">
        <v>21</v>
      </c>
      <c r="D4" s="35" t="s">
        <v>258</v>
      </c>
      <c r="E4" s="3" t="s">
        <v>11</v>
      </c>
      <c r="G4" s="3" t="s">
        <v>20</v>
      </c>
      <c r="H4" s="3" t="s">
        <v>18</v>
      </c>
      <c r="I4" s="3" t="s">
        <v>20</v>
      </c>
      <c r="J4" s="3" t="s">
        <v>23</v>
      </c>
    </row>
    <row r="5" spans="1:10" x14ac:dyDescent="0.25">
      <c r="A5" s="3" t="s">
        <v>30</v>
      </c>
      <c r="B5" s="1" t="s">
        <v>25</v>
      </c>
      <c r="C5" s="1" t="s">
        <v>26</v>
      </c>
      <c r="D5" s="1" t="s">
        <v>259</v>
      </c>
      <c r="E5" s="3" t="s">
        <v>11</v>
      </c>
      <c r="G5" s="3" t="s">
        <v>24</v>
      </c>
      <c r="H5" s="3" t="s">
        <v>18</v>
      </c>
      <c r="I5" s="3" t="s">
        <v>24</v>
      </c>
      <c r="J5" s="3" t="s">
        <v>27</v>
      </c>
    </row>
    <row r="6" spans="1:10" x14ac:dyDescent="0.25">
      <c r="A6" s="3" t="s">
        <v>30</v>
      </c>
      <c r="B6" s="1" t="s">
        <v>28</v>
      </c>
      <c r="C6" s="1" t="s">
        <v>29</v>
      </c>
      <c r="D6" s="36" t="s">
        <v>260</v>
      </c>
      <c r="E6" s="3" t="s">
        <v>11</v>
      </c>
      <c r="G6" s="3" t="s">
        <v>32</v>
      </c>
      <c r="H6" s="3" t="s">
        <v>18</v>
      </c>
      <c r="I6" s="3" t="s">
        <v>33</v>
      </c>
      <c r="J6" s="3" t="s">
        <v>31</v>
      </c>
    </row>
    <row r="7" spans="1:10" x14ac:dyDescent="0.25">
      <c r="A7" s="3" t="s">
        <v>30</v>
      </c>
      <c r="B7" s="1" t="s">
        <v>34</v>
      </c>
      <c r="C7" s="1" t="s">
        <v>35</v>
      </c>
      <c r="D7" s="1" t="s">
        <v>261</v>
      </c>
      <c r="E7" s="3" t="s">
        <v>11</v>
      </c>
      <c r="G7" s="3" t="s">
        <v>37</v>
      </c>
      <c r="H7" s="3" t="s">
        <v>18</v>
      </c>
      <c r="I7" s="3" t="s">
        <v>37</v>
      </c>
      <c r="J7" s="3" t="s">
        <v>36</v>
      </c>
    </row>
    <row r="8" spans="1:10" x14ac:dyDescent="0.25">
      <c r="A8" s="3" t="s">
        <v>30</v>
      </c>
      <c r="B8" s="1" t="s">
        <v>38</v>
      </c>
      <c r="C8" s="1" t="s">
        <v>39</v>
      </c>
      <c r="D8" s="35" t="s">
        <v>262</v>
      </c>
      <c r="E8" s="3" t="s">
        <v>11</v>
      </c>
      <c r="G8" s="3" t="s">
        <v>41</v>
      </c>
      <c r="H8" s="3" t="s">
        <v>18</v>
      </c>
      <c r="I8" s="3" t="s">
        <v>41</v>
      </c>
      <c r="J8" s="3" t="s">
        <v>40</v>
      </c>
    </row>
    <row r="10" spans="1:10" x14ac:dyDescent="0.25">
      <c r="A10" s="5" t="s">
        <v>42</v>
      </c>
      <c r="B10" s="1" t="s">
        <v>53</v>
      </c>
      <c r="C10" s="1" t="s">
        <v>54</v>
      </c>
      <c r="D10" s="1" t="s">
        <v>266</v>
      </c>
      <c r="E10" s="3" t="s">
        <v>313</v>
      </c>
      <c r="F10" s="3" t="s">
        <v>355</v>
      </c>
      <c r="G10" s="3" t="s">
        <v>314</v>
      </c>
      <c r="H10" s="3" t="s">
        <v>18</v>
      </c>
      <c r="I10" s="3" t="s">
        <v>55</v>
      </c>
    </row>
    <row r="11" spans="1:10" x14ac:dyDescent="0.25">
      <c r="A11" s="3" t="s">
        <v>30</v>
      </c>
      <c r="B11" s="1" t="s">
        <v>104</v>
      </c>
      <c r="C11" s="1" t="s">
        <v>105</v>
      </c>
      <c r="D11" s="1" t="s">
        <v>278</v>
      </c>
      <c r="E11" s="3" t="s">
        <v>11</v>
      </c>
      <c r="G11" s="3" t="s">
        <v>107</v>
      </c>
      <c r="H11" s="3" t="s">
        <v>18</v>
      </c>
      <c r="I11" s="3" t="s">
        <v>108</v>
      </c>
      <c r="J11" s="3" t="s">
        <v>106</v>
      </c>
    </row>
    <row r="12" spans="1:10" x14ac:dyDescent="0.25">
      <c r="A12" s="3" t="s">
        <v>30</v>
      </c>
      <c r="B12" s="1" t="s">
        <v>99</v>
      </c>
      <c r="C12" s="1" t="s">
        <v>100</v>
      </c>
      <c r="D12" s="1" t="s">
        <v>277</v>
      </c>
      <c r="E12" s="3" t="s">
        <v>11</v>
      </c>
      <c r="G12" s="3" t="s">
        <v>102</v>
      </c>
      <c r="H12" s="3" t="s">
        <v>18</v>
      </c>
      <c r="I12" s="3" t="s">
        <v>103</v>
      </c>
      <c r="J12" s="3" t="s">
        <v>101</v>
      </c>
    </row>
    <row r="13" spans="1:10" x14ac:dyDescent="0.25">
      <c r="A13" s="3" t="s">
        <v>30</v>
      </c>
      <c r="B13" s="1" t="s">
        <v>94</v>
      </c>
      <c r="C13" s="1" t="s">
        <v>95</v>
      </c>
      <c r="D13" s="1" t="s">
        <v>276</v>
      </c>
      <c r="E13" s="3" t="s">
        <v>92</v>
      </c>
      <c r="G13" s="3" t="s">
        <v>97</v>
      </c>
      <c r="H13" s="3" t="s">
        <v>18</v>
      </c>
      <c r="I13" s="3" t="s">
        <v>98</v>
      </c>
      <c r="J13" s="3" t="s">
        <v>96</v>
      </c>
    </row>
    <row r="14" spans="1:10" x14ac:dyDescent="0.25">
      <c r="A14" s="3" t="s">
        <v>30</v>
      </c>
      <c r="B14" s="1" t="s">
        <v>89</v>
      </c>
      <c r="C14" s="1" t="s">
        <v>90</v>
      </c>
      <c r="D14" s="1" t="s">
        <v>275</v>
      </c>
      <c r="E14" s="3" t="s">
        <v>92</v>
      </c>
      <c r="H14" s="3" t="s">
        <v>18</v>
      </c>
      <c r="I14" s="3" t="s">
        <v>91</v>
      </c>
      <c r="J14" s="3" t="s">
        <v>93</v>
      </c>
    </row>
    <row r="15" spans="1:10" x14ac:dyDescent="0.25">
      <c r="A15" s="3" t="s">
        <v>51</v>
      </c>
      <c r="B15" s="1" t="s">
        <v>86</v>
      </c>
      <c r="C15" s="1" t="s">
        <v>87</v>
      </c>
      <c r="D15" s="1" t="s">
        <v>274</v>
      </c>
      <c r="E15" s="3" t="s">
        <v>84</v>
      </c>
      <c r="H15" s="3" t="s">
        <v>18</v>
      </c>
      <c r="I15" s="3" t="s">
        <v>88</v>
      </c>
      <c r="J15" s="3" t="s">
        <v>315</v>
      </c>
    </row>
    <row r="16" spans="1:10" x14ac:dyDescent="0.25">
      <c r="A16" s="3" t="s">
        <v>30</v>
      </c>
      <c r="B16" s="1" t="s">
        <v>82</v>
      </c>
      <c r="C16" s="1" t="s">
        <v>83</v>
      </c>
      <c r="D16" s="1" t="s">
        <v>273</v>
      </c>
      <c r="E16" s="3" t="s">
        <v>84</v>
      </c>
      <c r="H16" s="3" t="s">
        <v>18</v>
      </c>
      <c r="I16" s="3" t="s">
        <v>85</v>
      </c>
      <c r="J16" s="3" t="s">
        <v>316</v>
      </c>
    </row>
    <row r="17" spans="1:11" x14ac:dyDescent="0.25">
      <c r="A17" s="3" t="s">
        <v>30</v>
      </c>
      <c r="B17" s="1" t="s">
        <v>77</v>
      </c>
      <c r="C17" s="1" t="s">
        <v>78</v>
      </c>
      <c r="D17" s="1" t="s">
        <v>272</v>
      </c>
      <c r="E17" s="3" t="s">
        <v>74</v>
      </c>
      <c r="G17" s="3" t="s">
        <v>80</v>
      </c>
      <c r="H17" s="3" t="s">
        <v>18</v>
      </c>
      <c r="I17" s="3" t="s">
        <v>81</v>
      </c>
      <c r="J17" s="3" t="s">
        <v>79</v>
      </c>
    </row>
    <row r="18" spans="1:11" x14ac:dyDescent="0.25">
      <c r="A18" s="3" t="s">
        <v>30</v>
      </c>
      <c r="B18" s="1" t="s">
        <v>71</v>
      </c>
      <c r="C18" s="1" t="s">
        <v>72</v>
      </c>
      <c r="D18" s="1" t="s">
        <v>271</v>
      </c>
      <c r="E18" s="3" t="s">
        <v>74</v>
      </c>
      <c r="G18" s="3" t="s">
        <v>75</v>
      </c>
      <c r="H18" s="3" t="s">
        <v>18</v>
      </c>
      <c r="I18" s="3" t="s">
        <v>76</v>
      </c>
      <c r="J18" s="3" t="s">
        <v>73</v>
      </c>
    </row>
    <row r="19" spans="1:11" x14ac:dyDescent="0.25">
      <c r="A19" s="3" t="s">
        <v>30</v>
      </c>
      <c r="B19" s="1" t="s">
        <v>67</v>
      </c>
      <c r="C19" s="1" t="s">
        <v>68</v>
      </c>
      <c r="D19" s="1" t="s">
        <v>270</v>
      </c>
      <c r="E19" s="3" t="s">
        <v>348</v>
      </c>
      <c r="H19" s="3" t="s">
        <v>18</v>
      </c>
      <c r="I19" s="3" t="s">
        <v>70</v>
      </c>
      <c r="J19" s="3" t="s">
        <v>69</v>
      </c>
    </row>
    <row r="20" spans="1:11" x14ac:dyDescent="0.25">
      <c r="A20" s="3" t="s">
        <v>30</v>
      </c>
      <c r="B20" s="1" t="s">
        <v>62</v>
      </c>
      <c r="C20" s="1" t="s">
        <v>63</v>
      </c>
      <c r="D20" s="1" t="s">
        <v>269</v>
      </c>
      <c r="E20" s="3" t="s">
        <v>66</v>
      </c>
      <c r="H20" s="3" t="s">
        <v>18</v>
      </c>
      <c r="I20" s="3" t="s">
        <v>64</v>
      </c>
      <c r="J20" s="3" t="s">
        <v>65</v>
      </c>
    </row>
    <row r="21" spans="1:11" x14ac:dyDescent="0.25">
      <c r="A21" s="3" t="s">
        <v>30</v>
      </c>
      <c r="B21" s="1" t="s">
        <v>49</v>
      </c>
      <c r="C21" s="1" t="s">
        <v>50</v>
      </c>
      <c r="D21" s="1" t="s">
        <v>265</v>
      </c>
      <c r="E21" s="3" t="s">
        <v>323</v>
      </c>
      <c r="G21" s="3" t="s">
        <v>314</v>
      </c>
      <c r="H21" s="3" t="s">
        <v>18</v>
      </c>
      <c r="I21" s="3" t="s">
        <v>52</v>
      </c>
    </row>
    <row r="22" spans="1:11" x14ac:dyDescent="0.25">
      <c r="A22" s="3" t="s">
        <v>51</v>
      </c>
      <c r="B22" s="1" t="s">
        <v>59</v>
      </c>
      <c r="C22" s="1" t="s">
        <v>60</v>
      </c>
      <c r="D22" s="1" t="s">
        <v>268</v>
      </c>
      <c r="E22" s="3" t="s">
        <v>231</v>
      </c>
      <c r="H22" s="3" t="s">
        <v>18</v>
      </c>
      <c r="I22" s="3" t="s">
        <v>61</v>
      </c>
      <c r="J22" s="3" t="s">
        <v>317</v>
      </c>
    </row>
    <row r="23" spans="1:11" x14ac:dyDescent="0.25">
      <c r="A23" s="3" t="s">
        <v>30</v>
      </c>
      <c r="B23" s="1" t="s">
        <v>56</v>
      </c>
      <c r="C23" s="1" t="s">
        <v>57</v>
      </c>
      <c r="D23" s="1" t="s">
        <v>267</v>
      </c>
      <c r="E23" s="3" t="s">
        <v>231</v>
      </c>
      <c r="H23" s="3" t="s">
        <v>18</v>
      </c>
      <c r="I23" s="3" t="s">
        <v>58</v>
      </c>
      <c r="J23" s="3" t="s">
        <v>318</v>
      </c>
    </row>
    <row r="24" spans="1:11" x14ac:dyDescent="0.25">
      <c r="A24" s="3" t="s">
        <v>30</v>
      </c>
      <c r="B24" s="1" t="s">
        <v>46</v>
      </c>
      <c r="C24" s="1" t="s">
        <v>47</v>
      </c>
      <c r="D24" s="1" t="s">
        <v>264</v>
      </c>
      <c r="E24" s="3" t="s">
        <v>66</v>
      </c>
      <c r="H24" s="3" t="s">
        <v>18</v>
      </c>
      <c r="I24" s="3" t="s">
        <v>48</v>
      </c>
      <c r="J24" s="3" t="s">
        <v>319</v>
      </c>
    </row>
    <row r="25" spans="1:11" x14ac:dyDescent="0.25">
      <c r="A25" s="3" t="s">
        <v>30</v>
      </c>
      <c r="B25" s="1" t="s">
        <v>43</v>
      </c>
      <c r="C25" s="1" t="s">
        <v>44</v>
      </c>
      <c r="D25" s="1" t="s">
        <v>263</v>
      </c>
      <c r="E25" s="3" t="s">
        <v>66</v>
      </c>
      <c r="H25" s="3">
        <v>454</v>
      </c>
      <c r="I25" s="3" t="s">
        <v>45</v>
      </c>
      <c r="J25" s="3" t="s">
        <v>320</v>
      </c>
      <c r="K25" s="7" t="s">
        <v>255</v>
      </c>
    </row>
    <row r="26" spans="1:11" x14ac:dyDescent="0.25">
      <c r="A26" s="3" t="s">
        <v>30</v>
      </c>
      <c r="B26" s="1" t="s">
        <v>126</v>
      </c>
      <c r="C26" s="1" t="s">
        <v>127</v>
      </c>
      <c r="D26" s="1" t="s">
        <v>283</v>
      </c>
      <c r="E26" s="3" t="s">
        <v>66</v>
      </c>
      <c r="H26" s="3" t="s">
        <v>18</v>
      </c>
      <c r="I26" s="3" t="s">
        <v>129</v>
      </c>
      <c r="J26" s="3" t="s">
        <v>128</v>
      </c>
    </row>
    <row r="27" spans="1:11" x14ac:dyDescent="0.25">
      <c r="A27" s="3" t="s">
        <v>30</v>
      </c>
      <c r="B27" s="1" t="s">
        <v>123</v>
      </c>
      <c r="C27" s="1" t="s">
        <v>124</v>
      </c>
      <c r="D27" s="1" t="s">
        <v>282</v>
      </c>
      <c r="E27" s="3" t="s">
        <v>322</v>
      </c>
      <c r="H27" s="3" t="s">
        <v>18</v>
      </c>
      <c r="I27" s="3" t="s">
        <v>125</v>
      </c>
      <c r="J27" s="3" t="s">
        <v>321</v>
      </c>
    </row>
    <row r="28" spans="1:11" x14ac:dyDescent="0.25">
      <c r="A28" s="3" t="s">
        <v>30</v>
      </c>
      <c r="B28" s="1" t="s">
        <v>119</v>
      </c>
      <c r="C28" s="1" t="s">
        <v>120</v>
      </c>
      <c r="D28" s="1" t="s">
        <v>281</v>
      </c>
      <c r="E28" s="3" t="s">
        <v>117</v>
      </c>
      <c r="H28" s="3" t="s">
        <v>18</v>
      </c>
      <c r="I28" s="3" t="s">
        <v>122</v>
      </c>
      <c r="J28" s="3" t="s">
        <v>121</v>
      </c>
    </row>
    <row r="29" spans="1:11" x14ac:dyDescent="0.25">
      <c r="A29" s="3" t="s">
        <v>30</v>
      </c>
      <c r="B29" s="1" t="s">
        <v>114</v>
      </c>
      <c r="C29" s="1" t="s">
        <v>115</v>
      </c>
      <c r="D29" s="1" t="s">
        <v>280</v>
      </c>
      <c r="E29" s="3" t="s">
        <v>117</v>
      </c>
      <c r="H29" s="3" t="s">
        <v>18</v>
      </c>
      <c r="I29" s="3" t="s">
        <v>118</v>
      </c>
      <c r="J29" s="3" t="s">
        <v>116</v>
      </c>
    </row>
    <row r="30" spans="1:11" x14ac:dyDescent="0.25">
      <c r="A30" s="3" t="s">
        <v>30</v>
      </c>
      <c r="B30" s="1" t="s">
        <v>109</v>
      </c>
      <c r="C30" s="1" t="s">
        <v>110</v>
      </c>
      <c r="D30" s="1" t="s">
        <v>279</v>
      </c>
      <c r="E30" s="3" t="s">
        <v>17</v>
      </c>
      <c r="G30" s="3" t="s">
        <v>112</v>
      </c>
      <c r="H30" s="3" t="s">
        <v>18</v>
      </c>
      <c r="I30" s="3" t="s">
        <v>113</v>
      </c>
      <c r="J30" s="3" t="s">
        <v>111</v>
      </c>
    </row>
    <row r="33" spans="1:11" x14ac:dyDescent="0.25">
      <c r="A33" s="5" t="s">
        <v>131</v>
      </c>
      <c r="B33" s="3" t="s">
        <v>132</v>
      </c>
      <c r="C33" s="1" t="s">
        <v>133</v>
      </c>
      <c r="D33" s="1" t="s">
        <v>284</v>
      </c>
      <c r="E33" s="3" t="s">
        <v>134</v>
      </c>
      <c r="F33" s="3" t="s">
        <v>136</v>
      </c>
      <c r="G33" s="3" t="s">
        <v>137</v>
      </c>
      <c r="H33" s="3" t="s">
        <v>130</v>
      </c>
      <c r="I33" s="3" t="s">
        <v>136</v>
      </c>
      <c r="J33" s="3" t="s">
        <v>138</v>
      </c>
      <c r="K33" s="3" t="s">
        <v>325</v>
      </c>
    </row>
    <row r="34" spans="1:11" x14ac:dyDescent="0.25">
      <c r="A34" s="3" t="s">
        <v>30</v>
      </c>
      <c r="D34" s="3" t="s">
        <v>285</v>
      </c>
      <c r="E34" s="3" t="s">
        <v>135</v>
      </c>
      <c r="G34" s="3" t="s">
        <v>18</v>
      </c>
      <c r="H34" s="3" t="s">
        <v>18</v>
      </c>
      <c r="J34" s="3" t="s">
        <v>18</v>
      </c>
    </row>
    <row r="35" spans="1:11" x14ac:dyDescent="0.25">
      <c r="A35" s="3" t="s">
        <v>30</v>
      </c>
      <c r="D35" s="3" t="s">
        <v>286</v>
      </c>
      <c r="E35" s="3" t="s">
        <v>66</v>
      </c>
      <c r="G35" s="3" t="s">
        <v>18</v>
      </c>
      <c r="H35" s="3" t="s">
        <v>18</v>
      </c>
      <c r="J35" s="3" t="s">
        <v>18</v>
      </c>
    </row>
    <row r="36" spans="1:11" x14ac:dyDescent="0.25">
      <c r="A36" s="3" t="s">
        <v>30</v>
      </c>
      <c r="D36" s="3" t="s">
        <v>287</v>
      </c>
      <c r="E36" s="3" t="s">
        <v>139</v>
      </c>
      <c r="G36" s="3" t="s">
        <v>18</v>
      </c>
      <c r="H36" s="3" t="s">
        <v>18</v>
      </c>
      <c r="J36" s="3" t="s">
        <v>18</v>
      </c>
    </row>
    <row r="37" spans="1:11" x14ac:dyDescent="0.25">
      <c r="A37" s="3" t="s">
        <v>30</v>
      </c>
      <c r="D37" s="3" t="s">
        <v>288</v>
      </c>
      <c r="E37" s="3" t="s">
        <v>140</v>
      </c>
      <c r="G37" s="3" t="s">
        <v>18</v>
      </c>
      <c r="H37" s="3" t="s">
        <v>18</v>
      </c>
      <c r="J37" s="3" t="s">
        <v>18</v>
      </c>
    </row>
    <row r="39" spans="1:11" x14ac:dyDescent="0.25">
      <c r="A39" s="5" t="s">
        <v>141</v>
      </c>
      <c r="B39" s="1" t="s">
        <v>142</v>
      </c>
      <c r="C39" s="1" t="s">
        <v>143</v>
      </c>
      <c r="D39" s="36" t="s">
        <v>289</v>
      </c>
      <c r="E39" s="3" t="s">
        <v>134</v>
      </c>
      <c r="F39" s="3" t="s">
        <v>146</v>
      </c>
      <c r="G39" s="3" t="s">
        <v>145</v>
      </c>
      <c r="H39" s="3">
        <v>454</v>
      </c>
      <c r="I39" s="3" t="s">
        <v>146</v>
      </c>
      <c r="J39" s="3" t="s">
        <v>144</v>
      </c>
    </row>
    <row r="41" spans="1:11" x14ac:dyDescent="0.25">
      <c r="A41" s="5" t="s">
        <v>147</v>
      </c>
      <c r="B41" s="1" t="s">
        <v>148</v>
      </c>
      <c r="C41" s="1" t="s">
        <v>149</v>
      </c>
      <c r="D41" s="3" t="s">
        <v>290</v>
      </c>
      <c r="E41" s="3" t="s">
        <v>74</v>
      </c>
      <c r="F41" s="3" t="s">
        <v>360</v>
      </c>
      <c r="G41" s="3" t="s">
        <v>349</v>
      </c>
      <c r="H41" s="3">
        <v>454</v>
      </c>
      <c r="I41" s="3" t="s">
        <v>150</v>
      </c>
      <c r="J41" s="3" t="s">
        <v>151</v>
      </c>
    </row>
    <row r="42" spans="1:11" x14ac:dyDescent="0.25">
      <c r="A42" s="3" t="s">
        <v>30</v>
      </c>
      <c r="B42" s="1" t="s">
        <v>152</v>
      </c>
      <c r="C42" s="1" t="s">
        <v>153</v>
      </c>
      <c r="D42" s="3" t="s">
        <v>291</v>
      </c>
      <c r="E42" s="3" t="s">
        <v>74</v>
      </c>
      <c r="F42" s="3" t="s">
        <v>361</v>
      </c>
      <c r="G42" s="3" t="s">
        <v>350</v>
      </c>
      <c r="H42" s="3" t="s">
        <v>18</v>
      </c>
      <c r="J42" s="3" t="s">
        <v>154</v>
      </c>
    </row>
    <row r="43" spans="1:11" x14ac:dyDescent="0.25">
      <c r="B43" s="1"/>
      <c r="C43" s="1"/>
    </row>
    <row r="44" spans="1:11" x14ac:dyDescent="0.25">
      <c r="A44" s="6" t="s">
        <v>155</v>
      </c>
      <c r="B44" s="1" t="s">
        <v>156</v>
      </c>
      <c r="C44" s="1" t="s">
        <v>157</v>
      </c>
      <c r="D44" s="3" t="s">
        <v>292</v>
      </c>
      <c r="E44" s="3" t="s">
        <v>159</v>
      </c>
      <c r="F44" s="3" t="s">
        <v>354</v>
      </c>
      <c r="G44" s="3" t="s">
        <v>158</v>
      </c>
      <c r="H44" s="3" t="s">
        <v>130</v>
      </c>
      <c r="I44" s="3" t="s">
        <v>160</v>
      </c>
      <c r="J44" s="3" t="s">
        <v>161</v>
      </c>
      <c r="K44" s="3" t="s">
        <v>324</v>
      </c>
    </row>
    <row r="45" spans="1:11" x14ac:dyDescent="0.25">
      <c r="A45" s="3" t="s">
        <v>30</v>
      </c>
      <c r="B45" s="1" t="s">
        <v>162</v>
      </c>
      <c r="C45" s="1" t="s">
        <v>163</v>
      </c>
      <c r="D45" s="3" t="s">
        <v>293</v>
      </c>
      <c r="E45" s="3" t="s">
        <v>159</v>
      </c>
      <c r="F45" s="3" t="s">
        <v>353</v>
      </c>
      <c r="G45" s="3" t="s">
        <v>164</v>
      </c>
      <c r="H45" s="3" t="s">
        <v>18</v>
      </c>
      <c r="I45" s="3" t="s">
        <v>165</v>
      </c>
      <c r="J45" s="3" t="s">
        <v>166</v>
      </c>
    </row>
    <row r="46" spans="1:11" x14ac:dyDescent="0.25">
      <c r="A46" s="3" t="s">
        <v>30</v>
      </c>
      <c r="B46" s="1" t="s">
        <v>167</v>
      </c>
      <c r="C46" s="1" t="s">
        <v>168</v>
      </c>
      <c r="D46" s="3" t="s">
        <v>294</v>
      </c>
      <c r="E46" s="3" t="s">
        <v>159</v>
      </c>
      <c r="F46" t="s">
        <v>352</v>
      </c>
      <c r="G46" s="3" t="s">
        <v>169</v>
      </c>
      <c r="H46" s="3" t="s">
        <v>18</v>
      </c>
      <c r="I46" s="3" t="s">
        <v>170</v>
      </c>
      <c r="J46" s="3" t="s">
        <v>171</v>
      </c>
    </row>
    <row r="47" spans="1:11" x14ac:dyDescent="0.25">
      <c r="A47" s="3" t="s">
        <v>30</v>
      </c>
      <c r="B47" s="1" t="s">
        <v>172</v>
      </c>
      <c r="C47" s="1" t="s">
        <v>173</v>
      </c>
      <c r="D47" s="3" t="s">
        <v>295</v>
      </c>
      <c r="E47" s="3" t="s">
        <v>159</v>
      </c>
      <c r="F47" s="3" t="s">
        <v>351</v>
      </c>
      <c r="G47" s="3" t="s">
        <v>174</v>
      </c>
      <c r="H47" s="3" t="s">
        <v>18</v>
      </c>
      <c r="I47" s="3" t="s">
        <v>175</v>
      </c>
      <c r="J47" s="3" t="s">
        <v>176</v>
      </c>
    </row>
    <row r="48" spans="1:11" x14ac:dyDescent="0.25">
      <c r="B48" s="1"/>
      <c r="C48" s="1"/>
    </row>
    <row r="49" spans="1:11" x14ac:dyDescent="0.25">
      <c r="A49" s="5" t="s">
        <v>177</v>
      </c>
      <c r="B49" s="1" t="s">
        <v>178</v>
      </c>
      <c r="C49" s="1" t="s">
        <v>179</v>
      </c>
      <c r="D49" s="3" t="s">
        <v>296</v>
      </c>
      <c r="E49" s="3" t="s">
        <v>181</v>
      </c>
      <c r="F49" s="3" t="s">
        <v>180</v>
      </c>
      <c r="G49" s="3" t="s">
        <v>182</v>
      </c>
      <c r="H49" s="3">
        <v>454</v>
      </c>
      <c r="I49" s="3" t="s">
        <v>180</v>
      </c>
      <c r="J49" s="3" t="s">
        <v>183</v>
      </c>
    </row>
    <row r="50" spans="1:11" x14ac:dyDescent="0.25">
      <c r="A50" s="3" t="s">
        <v>30</v>
      </c>
      <c r="B50" s="1" t="s">
        <v>184</v>
      </c>
      <c r="D50" s="3" t="s">
        <v>297</v>
      </c>
      <c r="E50" s="3" t="s">
        <v>18</v>
      </c>
      <c r="F50" s="3" t="s">
        <v>185</v>
      </c>
      <c r="G50" s="3" t="s">
        <v>18</v>
      </c>
      <c r="H50" s="3" t="s">
        <v>18</v>
      </c>
      <c r="I50" s="3" t="s">
        <v>185</v>
      </c>
      <c r="J50" s="3" t="s">
        <v>18</v>
      </c>
    </row>
    <row r="52" spans="1:11" x14ac:dyDescent="0.25">
      <c r="A52" s="5" t="s">
        <v>186</v>
      </c>
      <c r="B52" s="1" t="s">
        <v>187</v>
      </c>
      <c r="C52" s="1" t="s">
        <v>188</v>
      </c>
      <c r="D52" s="3" t="s">
        <v>298</v>
      </c>
      <c r="E52" s="3" t="s">
        <v>92</v>
      </c>
      <c r="F52" s="3" t="s">
        <v>191</v>
      </c>
      <c r="G52" s="3" t="s">
        <v>189</v>
      </c>
      <c r="H52" s="3">
        <v>454</v>
      </c>
      <c r="I52" s="3" t="s">
        <v>191</v>
      </c>
      <c r="J52" s="3" t="s">
        <v>190</v>
      </c>
      <c r="K52" s="3" t="s">
        <v>254</v>
      </c>
    </row>
    <row r="53" spans="1:11" x14ac:dyDescent="0.25">
      <c r="A53" s="3" t="s">
        <v>30</v>
      </c>
      <c r="B53" s="1" t="s">
        <v>192</v>
      </c>
      <c r="C53" s="1" t="s">
        <v>193</v>
      </c>
      <c r="D53" s="3" t="s">
        <v>299</v>
      </c>
      <c r="E53" s="3" t="s">
        <v>18</v>
      </c>
      <c r="F53" s="3" t="s">
        <v>195</v>
      </c>
      <c r="G53" s="3" t="s">
        <v>18</v>
      </c>
      <c r="H53" s="3" t="s">
        <v>18</v>
      </c>
      <c r="I53" s="3" t="s">
        <v>195</v>
      </c>
      <c r="J53" s="3" t="s">
        <v>194</v>
      </c>
    </row>
    <row r="54" spans="1:11" x14ac:dyDescent="0.25">
      <c r="A54" s="3" t="s">
        <v>30</v>
      </c>
      <c r="B54" s="1" t="s">
        <v>196</v>
      </c>
      <c r="C54" s="1" t="s">
        <v>197</v>
      </c>
      <c r="D54" s="3" t="s">
        <v>300</v>
      </c>
      <c r="E54" s="3" t="s">
        <v>18</v>
      </c>
      <c r="F54" s="3" t="s">
        <v>199</v>
      </c>
      <c r="G54" s="3" t="s">
        <v>18</v>
      </c>
      <c r="H54" s="3" t="s">
        <v>18</v>
      </c>
      <c r="I54" s="3" t="s">
        <v>199</v>
      </c>
      <c r="J54" s="3" t="s">
        <v>198</v>
      </c>
    </row>
    <row r="56" spans="1:11" x14ac:dyDescent="0.25">
      <c r="A56" s="5" t="s">
        <v>200</v>
      </c>
      <c r="B56" s="1" t="s">
        <v>201</v>
      </c>
      <c r="C56" s="1" t="s">
        <v>202</v>
      </c>
      <c r="D56" s="4" t="s">
        <v>301</v>
      </c>
      <c r="E56" s="3" t="s">
        <v>117</v>
      </c>
      <c r="F56" s="3" t="s">
        <v>359</v>
      </c>
      <c r="H56" s="3">
        <v>454</v>
      </c>
      <c r="J56" s="3" t="s">
        <v>205</v>
      </c>
    </row>
    <row r="57" spans="1:11" x14ac:dyDescent="0.25">
      <c r="A57" s="3" t="s">
        <v>30</v>
      </c>
      <c r="B57" s="1" t="s">
        <v>203</v>
      </c>
      <c r="C57" s="1" t="s">
        <v>204</v>
      </c>
      <c r="D57" s="4" t="s">
        <v>302</v>
      </c>
      <c r="E57" s="3" t="s">
        <v>117</v>
      </c>
      <c r="F57" s="3" t="s">
        <v>358</v>
      </c>
      <c r="H57" s="3" t="s">
        <v>18</v>
      </c>
      <c r="J57" s="3" t="s">
        <v>205</v>
      </c>
    </row>
    <row r="59" spans="1:11" x14ac:dyDescent="0.25">
      <c r="A59" s="5" t="s">
        <v>206</v>
      </c>
      <c r="B59" s="1" t="s">
        <v>207</v>
      </c>
      <c r="C59" s="1" t="s">
        <v>208</v>
      </c>
      <c r="D59" s="3" t="s">
        <v>303</v>
      </c>
      <c r="E59" s="3" t="s">
        <v>92</v>
      </c>
      <c r="F59" s="3" t="s">
        <v>211</v>
      </c>
      <c r="G59" s="3" t="s">
        <v>209</v>
      </c>
      <c r="H59" s="3">
        <v>454</v>
      </c>
      <c r="I59" s="3" t="s">
        <v>211</v>
      </c>
      <c r="J59" s="3" t="s">
        <v>210</v>
      </c>
    </row>
    <row r="60" spans="1:11" x14ac:dyDescent="0.25">
      <c r="A60" s="3" t="s">
        <v>30</v>
      </c>
      <c r="B60" s="1" t="s">
        <v>212</v>
      </c>
      <c r="C60" s="1" t="s">
        <v>213</v>
      </c>
      <c r="D60" s="3" t="s">
        <v>304</v>
      </c>
      <c r="E60" s="3" t="s">
        <v>18</v>
      </c>
      <c r="F60" s="3" t="s">
        <v>215</v>
      </c>
      <c r="G60" s="3" t="s">
        <v>18</v>
      </c>
      <c r="H60" s="3" t="s">
        <v>18</v>
      </c>
      <c r="I60" s="3" t="s">
        <v>215</v>
      </c>
      <c r="J60" s="3" t="s">
        <v>214</v>
      </c>
    </row>
    <row r="61" spans="1:11" x14ac:dyDescent="0.25">
      <c r="A61" s="3" t="s">
        <v>30</v>
      </c>
      <c r="B61" s="1" t="s">
        <v>216</v>
      </c>
      <c r="C61" s="1" t="s">
        <v>217</v>
      </c>
      <c r="D61" s="3" t="s">
        <v>305</v>
      </c>
      <c r="E61" s="3" t="s">
        <v>92</v>
      </c>
      <c r="F61" s="3" t="s">
        <v>219</v>
      </c>
      <c r="G61" s="3" t="s">
        <v>218</v>
      </c>
      <c r="H61" s="3" t="s">
        <v>18</v>
      </c>
      <c r="I61" s="3" t="s">
        <v>219</v>
      </c>
      <c r="J61" s="3" t="s">
        <v>220</v>
      </c>
    </row>
    <row r="62" spans="1:11" x14ac:dyDescent="0.25">
      <c r="A62" s="3" t="s">
        <v>30</v>
      </c>
      <c r="B62" s="1" t="s">
        <v>221</v>
      </c>
      <c r="C62" s="1" t="s">
        <v>222</v>
      </c>
      <c r="D62" s="3" t="s">
        <v>306</v>
      </c>
      <c r="E62" s="3" t="s">
        <v>92</v>
      </c>
      <c r="F62" s="3" t="s">
        <v>224</v>
      </c>
      <c r="G62" s="3" t="s">
        <v>223</v>
      </c>
      <c r="H62" s="3" t="s">
        <v>18</v>
      </c>
      <c r="I62" s="3" t="s">
        <v>224</v>
      </c>
      <c r="J62" s="3" t="s">
        <v>225</v>
      </c>
    </row>
    <row r="64" spans="1:11" x14ac:dyDescent="0.25">
      <c r="A64" s="5" t="s">
        <v>226</v>
      </c>
      <c r="B64" s="1" t="s">
        <v>227</v>
      </c>
      <c r="C64" s="1" t="s">
        <v>228</v>
      </c>
      <c r="D64" s="3" t="s">
        <v>307</v>
      </c>
      <c r="E64" s="3" t="s">
        <v>231</v>
      </c>
      <c r="G64" s="3" t="s">
        <v>230</v>
      </c>
      <c r="H64" s="3" t="s">
        <v>130</v>
      </c>
      <c r="I64" s="3" t="s">
        <v>229</v>
      </c>
      <c r="J64" s="3" t="s">
        <v>232</v>
      </c>
    </row>
    <row r="65" spans="1:10" x14ac:dyDescent="0.25">
      <c r="A65" s="3" t="s">
        <v>30</v>
      </c>
      <c r="B65" s="1" t="s">
        <v>233</v>
      </c>
      <c r="C65" s="1" t="s">
        <v>234</v>
      </c>
      <c r="D65" s="3" t="s">
        <v>308</v>
      </c>
      <c r="E65" s="3" t="s">
        <v>66</v>
      </c>
      <c r="G65" s="3" t="s">
        <v>18</v>
      </c>
      <c r="H65" s="3" t="s">
        <v>18</v>
      </c>
      <c r="I65" s="3" t="s">
        <v>235</v>
      </c>
      <c r="J65" s="3" t="s">
        <v>232</v>
      </c>
    </row>
    <row r="67" spans="1:10" x14ac:dyDescent="0.25">
      <c r="A67" s="5" t="s">
        <v>236</v>
      </c>
      <c r="B67" s="1" t="s">
        <v>237</v>
      </c>
      <c r="C67" s="1" t="s">
        <v>238</v>
      </c>
      <c r="D67" s="3" t="s">
        <v>309</v>
      </c>
      <c r="E67" s="3" t="s">
        <v>181</v>
      </c>
      <c r="F67" s="3" t="s">
        <v>248</v>
      </c>
      <c r="G67" s="3" t="s">
        <v>244</v>
      </c>
      <c r="H67" s="3">
        <v>454</v>
      </c>
      <c r="I67" s="3" t="s">
        <v>240</v>
      </c>
      <c r="J67" s="3" t="s">
        <v>239</v>
      </c>
    </row>
    <row r="68" spans="1:10" x14ac:dyDescent="0.25">
      <c r="A68" s="3" t="s">
        <v>30</v>
      </c>
      <c r="B68" s="1" t="s">
        <v>241</v>
      </c>
      <c r="C68" s="1" t="s">
        <v>242</v>
      </c>
      <c r="D68" s="3" t="s">
        <v>310</v>
      </c>
      <c r="E68" s="3" t="s">
        <v>18</v>
      </c>
      <c r="F68" s="3" t="s">
        <v>252</v>
      </c>
      <c r="G68" s="3" t="s">
        <v>18</v>
      </c>
      <c r="H68" s="3" t="s">
        <v>18</v>
      </c>
      <c r="I68" s="3" t="s">
        <v>245</v>
      </c>
      <c r="J68" s="3" t="s">
        <v>243</v>
      </c>
    </row>
    <row r="70" spans="1:10" x14ac:dyDescent="0.25">
      <c r="A70" s="3" t="s">
        <v>30</v>
      </c>
      <c r="B70" s="1" t="s">
        <v>246</v>
      </c>
      <c r="C70" s="1" t="s">
        <v>247</v>
      </c>
      <c r="D70" s="3" t="s">
        <v>311</v>
      </c>
      <c r="E70" s="3" t="s">
        <v>231</v>
      </c>
      <c r="F70" s="3" t="s">
        <v>357</v>
      </c>
      <c r="H70" s="3">
        <v>454</v>
      </c>
      <c r="I70" s="3" t="s">
        <v>249</v>
      </c>
      <c r="J70" s="3" t="s">
        <v>248</v>
      </c>
    </row>
    <row r="71" spans="1:10" x14ac:dyDescent="0.25">
      <c r="A71" s="3" t="s">
        <v>30</v>
      </c>
      <c r="B71" s="1" t="s">
        <v>250</v>
      </c>
      <c r="C71" s="1" t="s">
        <v>251</v>
      </c>
      <c r="D71" s="3" t="s">
        <v>312</v>
      </c>
      <c r="E71" s="3" t="s">
        <v>18</v>
      </c>
      <c r="F71" s="3" t="s">
        <v>356</v>
      </c>
      <c r="H71" s="3" t="s">
        <v>18</v>
      </c>
      <c r="I71" s="3" t="s">
        <v>253</v>
      </c>
      <c r="J71" s="3" t="s">
        <v>252</v>
      </c>
    </row>
  </sheetData>
  <sortState ref="A10:M30">
    <sortCondition ref="I10:I30" customList="1,2,3,4,5,6,7,8,9,10,11,12,13,14,15,16,17,18,19,20"/>
  </sortState>
  <hyperlinks>
    <hyperlink ref="K25"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2"/>
  <sheetViews>
    <sheetView tabSelected="1" topLeftCell="A26" zoomScale="60" zoomScaleNormal="60" workbookViewId="0">
      <selection activeCell="V47" sqref="V47"/>
    </sheetView>
  </sheetViews>
  <sheetFormatPr defaultRowHeight="12.75" x14ac:dyDescent="0.2"/>
  <cols>
    <col min="1" max="1" width="14.28515625" style="37" bestFit="1" customWidth="1"/>
    <col min="2" max="2" width="12.5703125" style="44" bestFit="1" customWidth="1"/>
    <col min="3" max="4" width="22.42578125" style="37" bestFit="1" customWidth="1"/>
    <col min="5" max="5" width="22.42578125" style="44" bestFit="1" customWidth="1"/>
    <col min="6" max="6" width="15.7109375" style="37" bestFit="1" customWidth="1"/>
    <col min="7" max="7" width="48.5703125" style="44" bestFit="1" customWidth="1"/>
    <col min="8" max="8" width="39.140625" style="45" bestFit="1" customWidth="1"/>
    <col min="9" max="9" width="64.42578125" style="37" bestFit="1" customWidth="1"/>
    <col min="10" max="10" width="27.7109375" style="37" bestFit="1" customWidth="1"/>
    <col min="11" max="11" width="15.5703125" style="37" bestFit="1" customWidth="1"/>
    <col min="12" max="12" width="42.5703125" style="37" customWidth="1"/>
    <col min="13" max="13" width="9.7109375" style="37" bestFit="1" customWidth="1"/>
    <col min="14" max="14" width="8.7109375" style="37" bestFit="1" customWidth="1"/>
    <col min="15" max="15" width="10.7109375" style="44" bestFit="1" customWidth="1"/>
    <col min="16" max="16" width="23.42578125" style="37" bestFit="1" customWidth="1"/>
    <col min="17" max="17" width="13.42578125" style="37" bestFit="1" customWidth="1"/>
    <col min="18" max="18" width="39.7109375" style="37" bestFit="1" customWidth="1"/>
    <col min="19" max="19" width="27.7109375" style="37" bestFit="1" customWidth="1"/>
    <col min="20" max="20" width="66.85546875" style="37" bestFit="1" customWidth="1"/>
    <col min="21" max="21" width="23.85546875" style="37" bestFit="1" customWidth="1"/>
    <col min="22" max="22" width="20.5703125" style="37" bestFit="1" customWidth="1"/>
    <col min="23" max="23" width="46.42578125" style="37" bestFit="1" customWidth="1"/>
    <col min="24" max="24" width="19.140625" style="37" bestFit="1" customWidth="1"/>
    <col min="25" max="25" width="37.42578125" style="37" bestFit="1" customWidth="1"/>
    <col min="26" max="26" width="66" style="37" customWidth="1"/>
    <col min="27" max="27" width="31.7109375" style="37" customWidth="1"/>
    <col min="28" max="28" width="17.85546875" style="37" customWidth="1"/>
    <col min="29" max="29" width="31.140625" style="44" bestFit="1" customWidth="1"/>
    <col min="30" max="30" width="22.42578125" style="37" bestFit="1" customWidth="1"/>
    <col min="31" max="16384" width="9.140625" style="37"/>
  </cols>
  <sheetData>
    <row r="1" spans="1:30" ht="13.5" thickBot="1" x14ac:dyDescent="0.25">
      <c r="A1" s="37" t="s">
        <v>6</v>
      </c>
      <c r="B1" s="44" t="s">
        <v>1</v>
      </c>
      <c r="C1" s="39" t="s">
        <v>362</v>
      </c>
      <c r="D1" s="39" t="s">
        <v>363</v>
      </c>
      <c r="E1" s="40" t="s">
        <v>364</v>
      </c>
      <c r="F1" s="39" t="s">
        <v>0</v>
      </c>
      <c r="G1" s="40" t="s">
        <v>365</v>
      </c>
      <c r="H1" s="41" t="s">
        <v>366</v>
      </c>
      <c r="I1" s="39" t="s">
        <v>367</v>
      </c>
      <c r="J1" s="47" t="s">
        <v>368</v>
      </c>
      <c r="K1" s="47" t="s">
        <v>384</v>
      </c>
      <c r="L1" s="47" t="s">
        <v>385</v>
      </c>
      <c r="M1" s="47" t="s">
        <v>369</v>
      </c>
      <c r="N1" s="47" t="s">
        <v>465</v>
      </c>
      <c r="O1" s="48" t="s">
        <v>370</v>
      </c>
      <c r="P1" s="39" t="s">
        <v>371</v>
      </c>
      <c r="Q1" s="39" t="s">
        <v>3</v>
      </c>
      <c r="R1" s="39" t="s">
        <v>372</v>
      </c>
      <c r="S1" s="39" t="s">
        <v>373</v>
      </c>
      <c r="T1" s="39" t="s">
        <v>442</v>
      </c>
      <c r="U1" s="39" t="s">
        <v>425</v>
      </c>
      <c r="V1" s="39" t="s">
        <v>577</v>
      </c>
      <c r="W1" s="39" t="s">
        <v>445</v>
      </c>
      <c r="X1" s="39" t="s">
        <v>457</v>
      </c>
      <c r="Y1" s="39" t="s">
        <v>401</v>
      </c>
      <c r="Z1" s="39" t="s">
        <v>2</v>
      </c>
      <c r="AA1" s="39" t="s">
        <v>5</v>
      </c>
      <c r="AB1" s="39" t="s">
        <v>374</v>
      </c>
      <c r="AC1" s="40" t="s">
        <v>375</v>
      </c>
      <c r="AD1" s="39" t="s">
        <v>376</v>
      </c>
    </row>
    <row r="2" spans="1:30" ht="15" x14ac:dyDescent="0.25">
      <c r="A2" s="42" t="s">
        <v>7</v>
      </c>
      <c r="B2" s="43" t="s">
        <v>256</v>
      </c>
      <c r="C2" s="37" t="s">
        <v>574</v>
      </c>
      <c r="D2" s="37" t="s">
        <v>580</v>
      </c>
      <c r="E2" s="44" t="s">
        <v>581</v>
      </c>
      <c r="F2" s="37" t="s">
        <v>8</v>
      </c>
      <c r="G2" s="44" t="s">
        <v>9</v>
      </c>
      <c r="H2" s="45" t="s">
        <v>13</v>
      </c>
      <c r="I2" s="37" t="s">
        <v>523</v>
      </c>
      <c r="J2" s="49"/>
      <c r="K2" s="49"/>
      <c r="L2" s="49"/>
      <c r="M2" s="49"/>
      <c r="N2" s="49"/>
      <c r="O2" s="51"/>
      <c r="P2" s="53"/>
      <c r="Q2" s="38" t="s">
        <v>11</v>
      </c>
      <c r="R2" s="37" t="s">
        <v>205</v>
      </c>
      <c r="S2" s="53"/>
      <c r="T2" s="53"/>
      <c r="U2" s="53"/>
      <c r="V2" s="37" t="s">
        <v>578</v>
      </c>
      <c r="W2" s="53"/>
      <c r="X2" s="53"/>
      <c r="Y2" s="53"/>
      <c r="Z2" s="37" t="s">
        <v>10</v>
      </c>
      <c r="AA2" s="45" t="s">
        <v>13</v>
      </c>
      <c r="AB2" s="53"/>
      <c r="AC2" s="44" t="s">
        <v>12</v>
      </c>
      <c r="AD2" s="37" t="s">
        <v>582</v>
      </c>
    </row>
    <row r="3" spans="1:30" ht="15" x14ac:dyDescent="0.25">
      <c r="A3" s="37" t="s">
        <v>30</v>
      </c>
      <c r="B3" s="44" t="s">
        <v>257</v>
      </c>
      <c r="C3" s="37" t="s">
        <v>574</v>
      </c>
      <c r="D3" s="37" t="s">
        <v>575</v>
      </c>
      <c r="E3" s="44" t="s">
        <v>576</v>
      </c>
      <c r="F3" s="37" t="s">
        <v>14</v>
      </c>
      <c r="G3" s="44" t="s">
        <v>15</v>
      </c>
      <c r="H3" s="45" t="s">
        <v>19</v>
      </c>
      <c r="I3" s="37" t="s">
        <v>523</v>
      </c>
      <c r="J3" s="49"/>
      <c r="K3" s="49"/>
      <c r="L3" s="49"/>
      <c r="M3" s="49"/>
      <c r="N3" s="49"/>
      <c r="O3" s="51"/>
      <c r="P3" s="53"/>
      <c r="Q3" s="38" t="s">
        <v>17</v>
      </c>
      <c r="R3" s="37" t="s">
        <v>205</v>
      </c>
      <c r="S3" s="53"/>
      <c r="T3" s="53"/>
      <c r="U3" s="53"/>
      <c r="V3" s="37" t="s">
        <v>578</v>
      </c>
      <c r="W3" s="53"/>
      <c r="X3" s="53"/>
      <c r="Y3" s="53"/>
      <c r="Z3" s="37" t="s">
        <v>16</v>
      </c>
      <c r="AA3" s="45" t="s">
        <v>19</v>
      </c>
      <c r="AB3" s="53"/>
      <c r="AC3" s="44" t="s">
        <v>12</v>
      </c>
      <c r="AD3" s="37" t="s">
        <v>579</v>
      </c>
    </row>
    <row r="4" spans="1:30" ht="15" x14ac:dyDescent="0.25">
      <c r="A4" s="37" t="s">
        <v>30</v>
      </c>
      <c r="B4" s="44" t="s">
        <v>258</v>
      </c>
      <c r="C4" s="37" t="s">
        <v>574</v>
      </c>
      <c r="D4" s="37" t="s">
        <v>583</v>
      </c>
      <c r="E4" s="44" t="s">
        <v>584</v>
      </c>
      <c r="F4" s="37" t="s">
        <v>22</v>
      </c>
      <c r="G4" s="44" t="s">
        <v>21</v>
      </c>
      <c r="H4" s="45" t="s">
        <v>20</v>
      </c>
      <c r="I4" s="37" t="s">
        <v>523</v>
      </c>
      <c r="J4" s="49"/>
      <c r="K4" s="49"/>
      <c r="L4" s="49"/>
      <c r="M4" s="49"/>
      <c r="N4" s="49"/>
      <c r="O4" s="51"/>
      <c r="P4" s="53"/>
      <c r="Q4" s="38" t="s">
        <v>11</v>
      </c>
      <c r="R4" s="37" t="s">
        <v>205</v>
      </c>
      <c r="S4" s="53"/>
      <c r="T4" s="53"/>
      <c r="U4" s="53"/>
      <c r="V4" s="37" t="s">
        <v>578</v>
      </c>
      <c r="W4" s="53"/>
      <c r="X4" s="53"/>
      <c r="Y4" s="53"/>
      <c r="Z4" s="37" t="s">
        <v>585</v>
      </c>
      <c r="AA4" s="45" t="s">
        <v>20</v>
      </c>
      <c r="AB4" s="53"/>
      <c r="AC4" s="44" t="s">
        <v>20</v>
      </c>
      <c r="AD4" s="37" t="s">
        <v>586</v>
      </c>
    </row>
    <row r="5" spans="1:30" ht="15" x14ac:dyDescent="0.25">
      <c r="A5" s="37" t="s">
        <v>30</v>
      </c>
      <c r="B5" s="44" t="s">
        <v>259</v>
      </c>
      <c r="C5" s="37" t="s">
        <v>574</v>
      </c>
      <c r="D5" s="37" t="s">
        <v>587</v>
      </c>
      <c r="E5" s="44" t="s">
        <v>588</v>
      </c>
      <c r="F5" s="37" t="s">
        <v>25</v>
      </c>
      <c r="G5" s="44" t="s">
        <v>26</v>
      </c>
      <c r="H5" s="45" t="s">
        <v>24</v>
      </c>
      <c r="I5" s="37" t="s">
        <v>523</v>
      </c>
      <c r="J5" s="49"/>
      <c r="K5" s="49"/>
      <c r="L5" s="49"/>
      <c r="M5" s="49"/>
      <c r="N5" s="49"/>
      <c r="O5" s="51"/>
      <c r="P5" s="53"/>
      <c r="Q5" s="38" t="s">
        <v>11</v>
      </c>
      <c r="R5" s="37" t="s">
        <v>205</v>
      </c>
      <c r="S5" s="53"/>
      <c r="T5" s="53"/>
      <c r="U5" s="53"/>
      <c r="V5" s="37" t="s">
        <v>578</v>
      </c>
      <c r="W5" s="53"/>
      <c r="X5" s="53"/>
      <c r="Y5" s="53"/>
      <c r="Z5" s="37" t="s">
        <v>589</v>
      </c>
      <c r="AA5" s="45" t="s">
        <v>24</v>
      </c>
      <c r="AB5" s="53"/>
      <c r="AC5" s="44" t="s">
        <v>24</v>
      </c>
      <c r="AD5" s="37" t="s">
        <v>590</v>
      </c>
    </row>
    <row r="6" spans="1:30" ht="15" x14ac:dyDescent="0.25">
      <c r="A6" s="37" t="s">
        <v>30</v>
      </c>
      <c r="B6" s="44" t="s">
        <v>260</v>
      </c>
      <c r="C6" s="37" t="s">
        <v>574</v>
      </c>
      <c r="D6" s="37" t="s">
        <v>591</v>
      </c>
      <c r="E6" s="44" t="s">
        <v>592</v>
      </c>
      <c r="F6" s="37" t="s">
        <v>28</v>
      </c>
      <c r="G6" s="44" t="s">
        <v>29</v>
      </c>
      <c r="H6" s="45" t="s">
        <v>33</v>
      </c>
      <c r="I6" s="37" t="s">
        <v>523</v>
      </c>
      <c r="J6" s="49"/>
      <c r="K6" s="49"/>
      <c r="L6" s="49"/>
      <c r="M6" s="49"/>
      <c r="N6" s="49"/>
      <c r="O6" s="51"/>
      <c r="P6" s="53"/>
      <c r="Q6" s="38" t="s">
        <v>11</v>
      </c>
      <c r="R6" s="37" t="s">
        <v>205</v>
      </c>
      <c r="S6" s="53"/>
      <c r="T6" s="53"/>
      <c r="U6" s="53"/>
      <c r="V6" s="37" t="s">
        <v>578</v>
      </c>
      <c r="W6" s="53"/>
      <c r="X6" s="53"/>
      <c r="Y6" s="53"/>
      <c r="Z6" s="37" t="s">
        <v>593</v>
      </c>
      <c r="AA6" s="45" t="s">
        <v>33</v>
      </c>
      <c r="AB6" s="53"/>
      <c r="AC6" s="44" t="s">
        <v>32</v>
      </c>
      <c r="AD6" s="37" t="s">
        <v>594</v>
      </c>
    </row>
    <row r="7" spans="1:30" ht="15" x14ac:dyDescent="0.25">
      <c r="A7" s="37" t="s">
        <v>30</v>
      </c>
      <c r="B7" s="44" t="s">
        <v>261</v>
      </c>
      <c r="C7" s="37" t="s">
        <v>574</v>
      </c>
      <c r="D7" s="37" t="s">
        <v>595</v>
      </c>
      <c r="E7" s="44" t="s">
        <v>596</v>
      </c>
      <c r="F7" s="37" t="s">
        <v>34</v>
      </c>
      <c r="G7" s="44" t="s">
        <v>35</v>
      </c>
      <c r="H7" s="45" t="s">
        <v>37</v>
      </c>
      <c r="I7" s="37" t="s">
        <v>523</v>
      </c>
      <c r="J7" s="49"/>
      <c r="K7" s="49"/>
      <c r="L7" s="49"/>
      <c r="M7" s="49"/>
      <c r="N7" s="49"/>
      <c r="O7" s="51"/>
      <c r="P7" s="53"/>
      <c r="Q7" s="38" t="s">
        <v>11</v>
      </c>
      <c r="R7" s="37" t="s">
        <v>205</v>
      </c>
      <c r="S7" s="53"/>
      <c r="T7" s="53"/>
      <c r="U7" s="53"/>
      <c r="V7" s="37" t="s">
        <v>578</v>
      </c>
      <c r="W7" s="53"/>
      <c r="X7" s="53"/>
      <c r="Y7" s="53"/>
      <c r="Z7" s="37" t="s">
        <v>597</v>
      </c>
      <c r="AA7" s="45" t="s">
        <v>37</v>
      </c>
      <c r="AB7" s="53"/>
      <c r="AC7" s="44" t="s">
        <v>37</v>
      </c>
      <c r="AD7" s="37" t="s">
        <v>598</v>
      </c>
    </row>
    <row r="8" spans="1:30" ht="15" x14ac:dyDescent="0.25">
      <c r="A8" s="37" t="s">
        <v>30</v>
      </c>
      <c r="B8" s="44" t="s">
        <v>262</v>
      </c>
      <c r="C8" s="37" t="s">
        <v>574</v>
      </c>
      <c r="D8" s="37" t="s">
        <v>599</v>
      </c>
      <c r="E8" s="44" t="s">
        <v>600</v>
      </c>
      <c r="F8" s="37" t="s">
        <v>38</v>
      </c>
      <c r="G8" s="44" t="s">
        <v>39</v>
      </c>
      <c r="H8" s="45" t="s">
        <v>41</v>
      </c>
      <c r="I8" s="37" t="s">
        <v>523</v>
      </c>
      <c r="J8" s="49"/>
      <c r="K8" s="49"/>
      <c r="L8" s="49"/>
      <c r="M8" s="49"/>
      <c r="N8" s="49"/>
      <c r="O8" s="51"/>
      <c r="P8" s="53"/>
      <c r="Q8" s="38" t="s">
        <v>11</v>
      </c>
      <c r="R8" s="37" t="s">
        <v>205</v>
      </c>
      <c r="S8" s="53"/>
      <c r="T8" s="53"/>
      <c r="U8" s="53"/>
      <c r="V8" s="37" t="s">
        <v>578</v>
      </c>
      <c r="W8" s="53"/>
      <c r="X8" s="53"/>
      <c r="Y8" s="53"/>
      <c r="Z8" s="37" t="s">
        <v>601</v>
      </c>
      <c r="AA8" s="45" t="s">
        <v>41</v>
      </c>
      <c r="AB8" s="53"/>
      <c r="AC8" s="44" t="s">
        <v>41</v>
      </c>
      <c r="AD8" s="37" t="s">
        <v>602</v>
      </c>
    </row>
    <row r="9" spans="1:30" x14ac:dyDescent="0.2">
      <c r="Q9" s="38"/>
    </row>
    <row r="10" spans="1:30" ht="15" x14ac:dyDescent="0.25">
      <c r="A10" s="42" t="s">
        <v>42</v>
      </c>
      <c r="B10" s="44" t="s">
        <v>266</v>
      </c>
      <c r="C10" s="37" t="s">
        <v>516</v>
      </c>
      <c r="D10" s="37" t="s">
        <v>532</v>
      </c>
      <c r="E10" s="44" t="s">
        <v>533</v>
      </c>
      <c r="F10" s="37" t="s">
        <v>53</v>
      </c>
      <c r="G10" s="44" t="s">
        <v>54</v>
      </c>
      <c r="H10" s="45" t="s">
        <v>55</v>
      </c>
      <c r="I10" s="37" t="s">
        <v>523</v>
      </c>
      <c r="J10" s="50"/>
      <c r="K10" s="50"/>
      <c r="L10" s="50"/>
      <c r="M10" s="50"/>
      <c r="N10" s="50"/>
      <c r="O10" s="51"/>
      <c r="P10" s="53"/>
      <c r="Q10" s="38" t="s">
        <v>313</v>
      </c>
      <c r="R10" s="53"/>
      <c r="S10" s="53"/>
      <c r="T10" s="53"/>
      <c r="U10" s="53"/>
      <c r="V10" s="53"/>
      <c r="W10" s="53"/>
      <c r="X10" s="53"/>
      <c r="Y10" s="53"/>
      <c r="Z10" s="37" t="s">
        <v>534</v>
      </c>
      <c r="AA10" s="37" t="s">
        <v>55</v>
      </c>
      <c r="AB10" s="53"/>
      <c r="AC10" s="44" t="s">
        <v>314</v>
      </c>
      <c r="AD10" s="37" t="s">
        <v>531</v>
      </c>
    </row>
    <row r="11" spans="1:30" ht="15" x14ac:dyDescent="0.25">
      <c r="A11" s="37" t="s">
        <v>30</v>
      </c>
      <c r="B11" s="44" t="s">
        <v>278</v>
      </c>
      <c r="C11" s="37" t="s">
        <v>516</v>
      </c>
      <c r="D11" s="37" t="s">
        <v>561</v>
      </c>
      <c r="E11" s="44" t="s">
        <v>562</v>
      </c>
      <c r="F11" s="37" t="s">
        <v>104</v>
      </c>
      <c r="G11" s="44" t="s">
        <v>105</v>
      </c>
      <c r="H11" s="45" t="s">
        <v>108</v>
      </c>
      <c r="I11" s="37" t="s">
        <v>523</v>
      </c>
      <c r="J11" s="50"/>
      <c r="K11" s="50"/>
      <c r="L11" s="50"/>
      <c r="M11" s="50"/>
      <c r="N11" s="50"/>
      <c r="O11" s="51"/>
      <c r="P11" s="53"/>
      <c r="Q11" s="38" t="s">
        <v>11</v>
      </c>
      <c r="R11" s="53"/>
      <c r="S11" s="53"/>
      <c r="T11" s="53"/>
      <c r="U11" s="53"/>
      <c r="V11" s="53"/>
      <c r="W11" s="53"/>
      <c r="X11" s="53"/>
      <c r="Y11" s="53"/>
      <c r="Z11" s="37" t="s">
        <v>106</v>
      </c>
      <c r="AA11" s="37" t="s">
        <v>108</v>
      </c>
      <c r="AB11" s="53"/>
      <c r="AC11" s="44" t="s">
        <v>107</v>
      </c>
      <c r="AD11" s="37" t="s">
        <v>531</v>
      </c>
    </row>
    <row r="12" spans="1:30" ht="15" x14ac:dyDescent="0.25">
      <c r="A12" s="37" t="s">
        <v>30</v>
      </c>
      <c r="B12" s="44" t="s">
        <v>277</v>
      </c>
      <c r="C12" s="37" t="s">
        <v>516</v>
      </c>
      <c r="D12" s="37" t="s">
        <v>559</v>
      </c>
      <c r="E12" s="44" t="s">
        <v>560</v>
      </c>
      <c r="F12" s="37" t="s">
        <v>99</v>
      </c>
      <c r="G12" s="44" t="s">
        <v>100</v>
      </c>
      <c r="H12" s="45" t="s">
        <v>519</v>
      </c>
      <c r="I12" s="37" t="s">
        <v>523</v>
      </c>
      <c r="J12" s="50"/>
      <c r="K12" s="50"/>
      <c r="L12" s="50"/>
      <c r="M12" s="50"/>
      <c r="N12" s="50"/>
      <c r="O12" s="51"/>
      <c r="P12" s="53"/>
      <c r="Q12" s="38" t="s">
        <v>11</v>
      </c>
      <c r="R12" s="53"/>
      <c r="S12" s="53"/>
      <c r="T12" s="53"/>
      <c r="U12" s="53"/>
      <c r="V12" s="53"/>
      <c r="W12" s="53"/>
      <c r="X12" s="53"/>
      <c r="Y12" s="53"/>
      <c r="Z12" s="37" t="s">
        <v>101</v>
      </c>
      <c r="AA12" s="37" t="s">
        <v>103</v>
      </c>
      <c r="AB12" s="53"/>
      <c r="AC12" s="44" t="s">
        <v>102</v>
      </c>
      <c r="AD12" s="37" t="s">
        <v>541</v>
      </c>
    </row>
    <row r="13" spans="1:30" ht="15" x14ac:dyDescent="0.25">
      <c r="A13" s="37" t="s">
        <v>30</v>
      </c>
      <c r="B13" s="44" t="s">
        <v>276</v>
      </c>
      <c r="C13" s="37" t="s">
        <v>516</v>
      </c>
      <c r="D13" s="37" t="s">
        <v>557</v>
      </c>
      <c r="E13" s="44" t="s">
        <v>558</v>
      </c>
      <c r="F13" s="37" t="s">
        <v>94</v>
      </c>
      <c r="G13" s="44" t="s">
        <v>95</v>
      </c>
      <c r="H13" s="45" t="s">
        <v>520</v>
      </c>
      <c r="I13" s="37" t="s">
        <v>523</v>
      </c>
      <c r="J13" s="50"/>
      <c r="K13" s="50"/>
      <c r="L13" s="50"/>
      <c r="M13" s="50"/>
      <c r="N13" s="50"/>
      <c r="O13" s="51"/>
      <c r="P13" s="53"/>
      <c r="Q13" s="38" t="s">
        <v>92</v>
      </c>
      <c r="R13" s="53"/>
      <c r="S13" s="53"/>
      <c r="T13" s="53"/>
      <c r="U13" s="53"/>
      <c r="V13" s="53"/>
      <c r="W13" s="53"/>
      <c r="X13" s="53"/>
      <c r="Y13" s="53"/>
      <c r="Z13" s="37" t="s">
        <v>96</v>
      </c>
      <c r="AA13" s="37" t="s">
        <v>98</v>
      </c>
      <c r="AB13" s="53"/>
      <c r="AC13" s="44" t="s">
        <v>97</v>
      </c>
      <c r="AD13" s="37" t="s">
        <v>531</v>
      </c>
    </row>
    <row r="14" spans="1:30" ht="15" x14ac:dyDescent="0.25">
      <c r="A14" s="37" t="s">
        <v>30</v>
      </c>
      <c r="B14" s="44" t="s">
        <v>275</v>
      </c>
      <c r="C14" s="37" t="s">
        <v>516</v>
      </c>
      <c r="D14" s="37" t="s">
        <v>555</v>
      </c>
      <c r="E14" s="44" t="s">
        <v>556</v>
      </c>
      <c r="F14" s="37" t="s">
        <v>89</v>
      </c>
      <c r="G14" s="44" t="s">
        <v>90</v>
      </c>
      <c r="H14" s="45" t="s">
        <v>521</v>
      </c>
      <c r="I14" s="37" t="s">
        <v>523</v>
      </c>
      <c r="J14" s="50"/>
      <c r="K14" s="50"/>
      <c r="L14" s="50"/>
      <c r="M14" s="50"/>
      <c r="N14" s="50"/>
      <c r="O14" s="51"/>
      <c r="P14" s="53"/>
      <c r="Q14" s="38" t="s">
        <v>92</v>
      </c>
      <c r="R14" s="53"/>
      <c r="S14" s="53"/>
      <c r="T14" s="53"/>
      <c r="U14" s="53"/>
      <c r="V14" s="53"/>
      <c r="W14" s="53"/>
      <c r="X14" s="53"/>
      <c r="Y14" s="53"/>
      <c r="Z14" s="37" t="s">
        <v>93</v>
      </c>
      <c r="AA14" s="37" t="s">
        <v>91</v>
      </c>
      <c r="AB14" s="53"/>
      <c r="AC14" s="52"/>
      <c r="AD14" s="37" t="s">
        <v>541</v>
      </c>
    </row>
    <row r="15" spans="1:30" ht="15" x14ac:dyDescent="0.25">
      <c r="A15" s="37" t="s">
        <v>51</v>
      </c>
      <c r="B15" s="44" t="s">
        <v>274</v>
      </c>
      <c r="C15" s="37" t="s">
        <v>516</v>
      </c>
      <c r="D15" s="37" t="s">
        <v>552</v>
      </c>
      <c r="E15" s="44" t="s">
        <v>553</v>
      </c>
      <c r="F15" s="37" t="s">
        <v>86</v>
      </c>
      <c r="G15" s="44" t="s">
        <v>87</v>
      </c>
      <c r="H15" s="45" t="s">
        <v>88</v>
      </c>
      <c r="I15" s="37" t="s">
        <v>523</v>
      </c>
      <c r="J15" s="50"/>
      <c r="K15" s="50"/>
      <c r="L15" s="50"/>
      <c r="M15" s="50"/>
      <c r="N15" s="50"/>
      <c r="O15" s="51"/>
      <c r="P15" s="53"/>
      <c r="Q15" s="38" t="s">
        <v>84</v>
      </c>
      <c r="R15" s="53"/>
      <c r="S15" s="53"/>
      <c r="T15" s="53"/>
      <c r="U15" s="53"/>
      <c r="V15" s="53"/>
      <c r="W15" s="53"/>
      <c r="X15" s="53"/>
      <c r="Y15" s="53"/>
      <c r="Z15" s="37" t="s">
        <v>554</v>
      </c>
      <c r="AA15" s="37" t="s">
        <v>88</v>
      </c>
      <c r="AB15" s="53"/>
      <c r="AC15" s="52"/>
      <c r="AD15" s="37" t="s">
        <v>541</v>
      </c>
    </row>
    <row r="16" spans="1:30" ht="15" x14ac:dyDescent="0.25">
      <c r="A16" s="37" t="s">
        <v>30</v>
      </c>
      <c r="B16" s="44" t="s">
        <v>273</v>
      </c>
      <c r="C16" s="37" t="s">
        <v>516</v>
      </c>
      <c r="D16" s="37" t="s">
        <v>549</v>
      </c>
      <c r="E16" s="44" t="s">
        <v>550</v>
      </c>
      <c r="F16" s="37" t="s">
        <v>82</v>
      </c>
      <c r="G16" s="44" t="s">
        <v>83</v>
      </c>
      <c r="H16" s="45" t="s">
        <v>85</v>
      </c>
      <c r="I16" s="37" t="s">
        <v>523</v>
      </c>
      <c r="J16" s="50"/>
      <c r="K16" s="50"/>
      <c r="L16" s="50"/>
      <c r="M16" s="50"/>
      <c r="N16" s="50"/>
      <c r="O16" s="51"/>
      <c r="P16" s="53"/>
      <c r="Q16" s="38" t="s">
        <v>84</v>
      </c>
      <c r="R16" s="53"/>
      <c r="S16" s="53"/>
      <c r="T16" s="53"/>
      <c r="U16" s="53"/>
      <c r="V16" s="53"/>
      <c r="W16" s="53"/>
      <c r="X16" s="53"/>
      <c r="Y16" s="53"/>
      <c r="Z16" s="37" t="s">
        <v>551</v>
      </c>
      <c r="AA16" s="37" t="s">
        <v>85</v>
      </c>
      <c r="AB16" s="53"/>
      <c r="AC16" s="52"/>
      <c r="AD16" s="37" t="s">
        <v>541</v>
      </c>
    </row>
    <row r="17" spans="1:30" ht="15" x14ac:dyDescent="0.25">
      <c r="A17" s="37" t="s">
        <v>30</v>
      </c>
      <c r="B17" s="44" t="s">
        <v>272</v>
      </c>
      <c r="C17" s="37" t="s">
        <v>516</v>
      </c>
      <c r="D17" s="37" t="s">
        <v>547</v>
      </c>
      <c r="E17" s="44" t="s">
        <v>548</v>
      </c>
      <c r="F17" s="37" t="s">
        <v>77</v>
      </c>
      <c r="G17" s="44" t="s">
        <v>78</v>
      </c>
      <c r="H17" s="45" t="s">
        <v>522</v>
      </c>
      <c r="I17" s="37" t="s">
        <v>523</v>
      </c>
      <c r="J17" s="50"/>
      <c r="K17" s="50"/>
      <c r="L17" s="50"/>
      <c r="M17" s="50"/>
      <c r="N17" s="50"/>
      <c r="O17" s="51"/>
      <c r="P17" s="53"/>
      <c r="Q17" s="38" t="s">
        <v>74</v>
      </c>
      <c r="R17" s="53"/>
      <c r="S17" s="53"/>
      <c r="T17" s="53"/>
      <c r="U17" s="53"/>
      <c r="V17" s="53"/>
      <c r="W17" s="53"/>
      <c r="X17" s="53"/>
      <c r="Y17" s="53"/>
      <c r="Z17" s="37" t="s">
        <v>79</v>
      </c>
      <c r="AA17" s="37" t="s">
        <v>81</v>
      </c>
      <c r="AB17" s="53"/>
      <c r="AC17" s="52"/>
      <c r="AD17" s="37" t="s">
        <v>541</v>
      </c>
    </row>
    <row r="18" spans="1:30" ht="15" x14ac:dyDescent="0.25">
      <c r="A18" s="37" t="s">
        <v>30</v>
      </c>
      <c r="B18" s="44" t="s">
        <v>271</v>
      </c>
      <c r="C18" s="37" t="s">
        <v>516</v>
      </c>
      <c r="D18" s="37" t="s">
        <v>545</v>
      </c>
      <c r="E18" s="44" t="s">
        <v>546</v>
      </c>
      <c r="F18" s="37" t="s">
        <v>71</v>
      </c>
      <c r="G18" s="44" t="s">
        <v>72</v>
      </c>
      <c r="H18" s="45" t="s">
        <v>76</v>
      </c>
      <c r="I18" s="37" t="s">
        <v>523</v>
      </c>
      <c r="J18" s="50"/>
      <c r="K18" s="50"/>
      <c r="L18" s="50"/>
      <c r="M18" s="50"/>
      <c r="N18" s="50"/>
      <c r="O18" s="51"/>
      <c r="P18" s="53"/>
      <c r="Q18" s="38" t="s">
        <v>74</v>
      </c>
      <c r="R18" s="53"/>
      <c r="S18" s="53"/>
      <c r="T18" s="53"/>
      <c r="U18" s="53"/>
      <c r="V18" s="53"/>
      <c r="W18" s="53"/>
      <c r="X18" s="53"/>
      <c r="Y18" s="53"/>
      <c r="Z18" s="37" t="s">
        <v>73</v>
      </c>
      <c r="AA18" s="37" t="s">
        <v>76</v>
      </c>
      <c r="AB18" s="53"/>
      <c r="AC18" s="52"/>
      <c r="AD18" s="37" t="s">
        <v>531</v>
      </c>
    </row>
    <row r="19" spans="1:30" ht="15" x14ac:dyDescent="0.25">
      <c r="A19" s="37" t="s">
        <v>30</v>
      </c>
      <c r="B19" s="44" t="s">
        <v>270</v>
      </c>
      <c r="C19" s="37" t="s">
        <v>516</v>
      </c>
      <c r="D19" s="37" t="s">
        <v>542</v>
      </c>
      <c r="E19" s="44" t="s">
        <v>543</v>
      </c>
      <c r="F19" s="37" t="s">
        <v>67</v>
      </c>
      <c r="G19" s="44" t="s">
        <v>68</v>
      </c>
      <c r="H19" s="45" t="s">
        <v>70</v>
      </c>
      <c r="I19" s="37" t="s">
        <v>523</v>
      </c>
      <c r="J19" s="50"/>
      <c r="K19" s="50"/>
      <c r="L19" s="50"/>
      <c r="M19" s="50"/>
      <c r="N19" s="50"/>
      <c r="O19" s="51"/>
      <c r="P19" s="53"/>
      <c r="Q19" s="38" t="s">
        <v>348</v>
      </c>
      <c r="R19" s="53"/>
      <c r="S19" s="53"/>
      <c r="T19" s="53"/>
      <c r="U19" s="53"/>
      <c r="V19" s="53"/>
      <c r="W19" s="53"/>
      <c r="X19" s="53"/>
      <c r="Y19" s="53"/>
      <c r="Z19" s="37" t="s">
        <v>544</v>
      </c>
      <c r="AA19" s="37" t="s">
        <v>70</v>
      </c>
      <c r="AB19" s="53"/>
      <c r="AC19" s="52"/>
      <c r="AD19" s="37" t="s">
        <v>531</v>
      </c>
    </row>
    <row r="20" spans="1:30" ht="15" x14ac:dyDescent="0.25">
      <c r="A20" s="37" t="s">
        <v>30</v>
      </c>
      <c r="B20" s="44" t="s">
        <v>269</v>
      </c>
      <c r="C20" s="37" t="s">
        <v>516</v>
      </c>
      <c r="D20" s="37" t="s">
        <v>539</v>
      </c>
      <c r="E20" s="44" t="s">
        <v>540</v>
      </c>
      <c r="F20" s="37" t="s">
        <v>62</v>
      </c>
      <c r="G20" s="44" t="s">
        <v>63</v>
      </c>
      <c r="H20" s="45" t="s">
        <v>64</v>
      </c>
      <c r="I20" s="37" t="s">
        <v>523</v>
      </c>
      <c r="J20" s="50"/>
      <c r="K20" s="50"/>
      <c r="L20" s="50"/>
      <c r="M20" s="50"/>
      <c r="N20" s="50"/>
      <c r="O20" s="51"/>
      <c r="P20" s="53"/>
      <c r="Q20" s="38" t="s">
        <v>66</v>
      </c>
      <c r="R20" s="53"/>
      <c r="S20" s="53"/>
      <c r="T20" s="53"/>
      <c r="U20" s="53"/>
      <c r="V20" s="53"/>
      <c r="W20" s="53"/>
      <c r="X20" s="53"/>
      <c r="Y20" s="53"/>
      <c r="Z20" s="37" t="s">
        <v>65</v>
      </c>
      <c r="AA20" s="37" t="s">
        <v>64</v>
      </c>
      <c r="AB20" s="53"/>
      <c r="AC20" s="52"/>
      <c r="AD20" s="37" t="s">
        <v>541</v>
      </c>
    </row>
    <row r="21" spans="1:30" ht="15" x14ac:dyDescent="0.25">
      <c r="A21" s="37" t="s">
        <v>30</v>
      </c>
      <c r="B21" s="44" t="s">
        <v>265</v>
      </c>
      <c r="C21" s="37" t="s">
        <v>516</v>
      </c>
      <c r="D21" s="37" t="s">
        <v>528</v>
      </c>
      <c r="E21" s="44" t="s">
        <v>529</v>
      </c>
      <c r="F21" s="37" t="s">
        <v>49</v>
      </c>
      <c r="G21" s="44" t="s">
        <v>50</v>
      </c>
      <c r="H21" s="45" t="s">
        <v>52</v>
      </c>
      <c r="I21" s="37" t="s">
        <v>523</v>
      </c>
      <c r="J21" s="50"/>
      <c r="K21" s="50"/>
      <c r="L21" s="50"/>
      <c r="M21" s="50"/>
      <c r="N21" s="50"/>
      <c r="O21" s="51"/>
      <c r="P21" s="53"/>
      <c r="Q21" s="38" t="s">
        <v>323</v>
      </c>
      <c r="R21" s="53"/>
      <c r="S21" s="53"/>
      <c r="T21" s="53"/>
      <c r="U21" s="53"/>
      <c r="V21" s="53"/>
      <c r="W21" s="53"/>
      <c r="X21" s="53"/>
      <c r="Y21" s="53"/>
      <c r="Z21" s="37" t="s">
        <v>530</v>
      </c>
      <c r="AA21" s="37" t="s">
        <v>52</v>
      </c>
      <c r="AB21" s="53"/>
      <c r="AC21" s="52"/>
      <c r="AD21" s="37" t="s">
        <v>531</v>
      </c>
    </row>
    <row r="22" spans="1:30" ht="15" x14ac:dyDescent="0.25">
      <c r="A22" s="37" t="s">
        <v>51</v>
      </c>
      <c r="B22" s="44" t="s">
        <v>268</v>
      </c>
      <c r="C22" s="37" t="s">
        <v>516</v>
      </c>
      <c r="D22" s="37" t="s">
        <v>537</v>
      </c>
      <c r="E22" s="44" t="s">
        <v>538</v>
      </c>
      <c r="F22" s="37" t="s">
        <v>59</v>
      </c>
      <c r="G22" s="44" t="s">
        <v>60</v>
      </c>
      <c r="H22" s="45" t="s">
        <v>61</v>
      </c>
      <c r="I22" s="37" t="s">
        <v>523</v>
      </c>
      <c r="J22" s="50"/>
      <c r="K22" s="50"/>
      <c r="L22" s="50"/>
      <c r="M22" s="50"/>
      <c r="N22" s="50"/>
      <c r="O22" s="51"/>
      <c r="P22" s="53"/>
      <c r="Q22" s="38" t="s">
        <v>231</v>
      </c>
      <c r="R22" s="53"/>
      <c r="S22" s="53"/>
      <c r="T22" s="53"/>
      <c r="U22" s="53"/>
      <c r="V22" s="53"/>
      <c r="W22" s="53"/>
      <c r="X22" s="53"/>
      <c r="Y22" s="53"/>
      <c r="Z22" s="37" t="s">
        <v>317</v>
      </c>
      <c r="AA22" s="37" t="s">
        <v>61</v>
      </c>
      <c r="AB22" s="53"/>
      <c r="AC22" s="52"/>
      <c r="AD22" s="37" t="s">
        <v>531</v>
      </c>
    </row>
    <row r="23" spans="1:30" ht="15" x14ac:dyDescent="0.25">
      <c r="A23" s="37" t="s">
        <v>30</v>
      </c>
      <c r="B23" s="44" t="s">
        <v>267</v>
      </c>
      <c r="C23" s="37" t="s">
        <v>516</v>
      </c>
      <c r="D23" s="37" t="s">
        <v>535</v>
      </c>
      <c r="E23" s="44" t="s">
        <v>536</v>
      </c>
      <c r="F23" s="37" t="s">
        <v>56</v>
      </c>
      <c r="G23" s="44" t="s">
        <v>57</v>
      </c>
      <c r="H23" s="45" t="s">
        <v>58</v>
      </c>
      <c r="I23" s="37" t="s">
        <v>523</v>
      </c>
      <c r="J23" s="50"/>
      <c r="K23" s="50"/>
      <c r="L23" s="50"/>
      <c r="M23" s="50"/>
      <c r="N23" s="50"/>
      <c r="O23" s="51"/>
      <c r="P23" s="53"/>
      <c r="Q23" s="38" t="s">
        <v>231</v>
      </c>
      <c r="R23" s="53"/>
      <c r="S23" s="53"/>
      <c r="T23" s="53"/>
      <c r="U23" s="53"/>
      <c r="V23" s="53"/>
      <c r="W23" s="53"/>
      <c r="X23" s="53"/>
      <c r="Y23" s="53"/>
      <c r="Z23" s="37" t="s">
        <v>318</v>
      </c>
      <c r="AA23" s="37" t="s">
        <v>58</v>
      </c>
      <c r="AB23" s="53"/>
      <c r="AC23" s="52"/>
      <c r="AD23" s="37" t="s">
        <v>531</v>
      </c>
    </row>
    <row r="24" spans="1:30" ht="15" x14ac:dyDescent="0.25">
      <c r="A24" s="37" t="s">
        <v>30</v>
      </c>
      <c r="B24" s="44" t="s">
        <v>264</v>
      </c>
      <c r="C24" s="37" t="s">
        <v>516</v>
      </c>
      <c r="D24" s="37" t="s">
        <v>525</v>
      </c>
      <c r="E24" s="44" t="s">
        <v>526</v>
      </c>
      <c r="F24" s="37" t="s">
        <v>46</v>
      </c>
      <c r="G24" s="44" t="s">
        <v>47</v>
      </c>
      <c r="H24" s="45" t="s">
        <v>48</v>
      </c>
      <c r="I24" s="37" t="s">
        <v>523</v>
      </c>
      <c r="J24" s="50"/>
      <c r="K24" s="50"/>
      <c r="L24" s="50"/>
      <c r="M24" s="50"/>
      <c r="N24" s="50"/>
      <c r="O24" s="51"/>
      <c r="P24" s="53"/>
      <c r="Q24" s="38" t="s">
        <v>66</v>
      </c>
      <c r="R24" s="53"/>
      <c r="S24" s="53"/>
      <c r="T24" s="53"/>
      <c r="U24" s="53"/>
      <c r="V24" s="53"/>
      <c r="W24" s="53"/>
      <c r="X24" s="53"/>
      <c r="Y24" s="53"/>
      <c r="Z24" s="37" t="s">
        <v>527</v>
      </c>
      <c r="AA24" s="37" t="s">
        <v>48</v>
      </c>
      <c r="AB24" s="53"/>
      <c r="AC24" s="52"/>
      <c r="AD24" s="37" t="s">
        <v>524</v>
      </c>
    </row>
    <row r="25" spans="1:30" ht="15" x14ac:dyDescent="0.25">
      <c r="A25" s="37" t="s">
        <v>30</v>
      </c>
      <c r="B25" s="44" t="s">
        <v>263</v>
      </c>
      <c r="C25" s="37" t="s">
        <v>516</v>
      </c>
      <c r="D25" s="37" t="s">
        <v>517</v>
      </c>
      <c r="E25" s="44" t="s">
        <v>518</v>
      </c>
      <c r="F25" s="37" t="s">
        <v>43</v>
      </c>
      <c r="G25" s="44" t="s">
        <v>44</v>
      </c>
      <c r="H25" s="45" t="s">
        <v>45</v>
      </c>
      <c r="I25" s="37" t="s">
        <v>523</v>
      </c>
      <c r="J25" s="50"/>
      <c r="K25" s="50"/>
      <c r="L25" s="50"/>
      <c r="M25" s="50"/>
      <c r="N25" s="50"/>
      <c r="O25" s="51"/>
      <c r="P25" s="53"/>
      <c r="Q25" s="38" t="s">
        <v>66</v>
      </c>
      <c r="R25" s="53"/>
      <c r="S25" s="53"/>
      <c r="T25" s="53"/>
      <c r="U25" s="53"/>
      <c r="V25" s="53"/>
      <c r="W25" s="53"/>
      <c r="X25" s="53"/>
      <c r="Y25" s="53"/>
      <c r="Z25" s="37" t="s">
        <v>320</v>
      </c>
      <c r="AA25" s="37" t="s">
        <v>45</v>
      </c>
      <c r="AB25" s="53"/>
      <c r="AC25" s="52"/>
      <c r="AD25" s="37" t="s">
        <v>524</v>
      </c>
    </row>
    <row r="26" spans="1:30" ht="15" x14ac:dyDescent="0.25">
      <c r="A26" s="37" t="s">
        <v>30</v>
      </c>
      <c r="B26" s="44" t="s">
        <v>283</v>
      </c>
      <c r="C26" s="37" t="s">
        <v>516</v>
      </c>
      <c r="D26" s="37" t="s">
        <v>572</v>
      </c>
      <c r="E26" s="44" t="s">
        <v>573</v>
      </c>
      <c r="F26" s="37" t="s">
        <v>126</v>
      </c>
      <c r="G26" s="44" t="s">
        <v>127</v>
      </c>
      <c r="H26" s="45" t="s">
        <v>129</v>
      </c>
      <c r="I26" s="37" t="s">
        <v>523</v>
      </c>
      <c r="J26" s="50"/>
      <c r="K26" s="50"/>
      <c r="L26" s="50"/>
      <c r="M26" s="50"/>
      <c r="N26" s="50"/>
      <c r="O26" s="51"/>
      <c r="P26" s="53"/>
      <c r="Q26" s="38" t="s">
        <v>66</v>
      </c>
      <c r="R26" s="53"/>
      <c r="S26" s="53"/>
      <c r="T26" s="53"/>
      <c r="U26" s="53"/>
      <c r="V26" s="53"/>
      <c r="W26" s="53"/>
      <c r="X26" s="53"/>
      <c r="Y26" s="53"/>
      <c r="Z26" s="37" t="s">
        <v>128</v>
      </c>
      <c r="AA26" s="37" t="s">
        <v>129</v>
      </c>
      <c r="AB26" s="53"/>
      <c r="AC26" s="52"/>
      <c r="AD26" s="37" t="s">
        <v>531</v>
      </c>
    </row>
    <row r="27" spans="1:30" ht="15" x14ac:dyDescent="0.25">
      <c r="A27" s="37" t="s">
        <v>30</v>
      </c>
      <c r="B27" s="44" t="s">
        <v>282</v>
      </c>
      <c r="C27" s="37" t="s">
        <v>516</v>
      </c>
      <c r="D27" s="37" t="s">
        <v>569</v>
      </c>
      <c r="E27" s="44" t="s">
        <v>570</v>
      </c>
      <c r="F27" s="37" t="s">
        <v>123</v>
      </c>
      <c r="G27" s="44" t="s">
        <v>124</v>
      </c>
      <c r="H27" s="45" t="s">
        <v>125</v>
      </c>
      <c r="I27" s="37" t="s">
        <v>523</v>
      </c>
      <c r="J27" s="50"/>
      <c r="K27" s="50"/>
      <c r="L27" s="50"/>
      <c r="M27" s="50"/>
      <c r="N27" s="50"/>
      <c r="O27" s="51"/>
      <c r="P27" s="53"/>
      <c r="Q27" s="38" t="s">
        <v>322</v>
      </c>
      <c r="R27" s="53"/>
      <c r="S27" s="53"/>
      <c r="T27" s="53"/>
      <c r="U27" s="53"/>
      <c r="V27" s="53"/>
      <c r="W27" s="53"/>
      <c r="X27" s="53"/>
      <c r="Y27" s="53"/>
      <c r="Z27" s="37" t="s">
        <v>571</v>
      </c>
      <c r="AA27" s="37" t="s">
        <v>125</v>
      </c>
      <c r="AB27" s="53"/>
      <c r="AC27" s="52"/>
      <c r="AD27" s="37" t="s">
        <v>531</v>
      </c>
    </row>
    <row r="28" spans="1:30" ht="15" x14ac:dyDescent="0.25">
      <c r="A28" s="37" t="s">
        <v>30</v>
      </c>
      <c r="B28" s="44" t="s">
        <v>281</v>
      </c>
      <c r="C28" s="37" t="s">
        <v>516</v>
      </c>
      <c r="D28" s="37" t="s">
        <v>567</v>
      </c>
      <c r="E28" s="44" t="s">
        <v>568</v>
      </c>
      <c r="F28" s="37" t="s">
        <v>119</v>
      </c>
      <c r="G28" s="44" t="s">
        <v>120</v>
      </c>
      <c r="H28" s="45" t="s">
        <v>122</v>
      </c>
      <c r="I28" s="37" t="s">
        <v>523</v>
      </c>
      <c r="J28" s="50"/>
      <c r="K28" s="50"/>
      <c r="L28" s="50"/>
      <c r="M28" s="50"/>
      <c r="N28" s="50"/>
      <c r="O28" s="51"/>
      <c r="P28" s="53"/>
      <c r="Q28" s="38" t="s">
        <v>117</v>
      </c>
      <c r="R28" s="53"/>
      <c r="S28" s="53"/>
      <c r="T28" s="53"/>
      <c r="U28" s="53"/>
      <c r="V28" s="53"/>
      <c r="W28" s="53"/>
      <c r="X28" s="53"/>
      <c r="Y28" s="53"/>
      <c r="Z28" s="37" t="s">
        <v>121</v>
      </c>
      <c r="AA28" s="37" t="s">
        <v>122</v>
      </c>
      <c r="AB28" s="53"/>
      <c r="AC28" s="52"/>
      <c r="AD28" s="37" t="s">
        <v>531</v>
      </c>
    </row>
    <row r="29" spans="1:30" ht="15" x14ac:dyDescent="0.25">
      <c r="A29" s="37" t="s">
        <v>30</v>
      </c>
      <c r="B29" s="44" t="s">
        <v>280</v>
      </c>
      <c r="C29" s="37" t="s">
        <v>516</v>
      </c>
      <c r="D29" s="37" t="s">
        <v>565</v>
      </c>
      <c r="E29" s="44" t="s">
        <v>566</v>
      </c>
      <c r="F29" s="37" t="s">
        <v>114</v>
      </c>
      <c r="G29" s="44" t="s">
        <v>115</v>
      </c>
      <c r="H29" s="45" t="s">
        <v>118</v>
      </c>
      <c r="I29" s="37" t="s">
        <v>523</v>
      </c>
      <c r="J29" s="50"/>
      <c r="K29" s="50"/>
      <c r="L29" s="50"/>
      <c r="M29" s="50"/>
      <c r="N29" s="50"/>
      <c r="O29" s="51"/>
      <c r="P29" s="53"/>
      <c r="Q29" s="38" t="s">
        <v>117</v>
      </c>
      <c r="R29" s="53"/>
      <c r="S29" s="53"/>
      <c r="T29" s="53"/>
      <c r="U29" s="53"/>
      <c r="V29" s="53"/>
      <c r="W29" s="53"/>
      <c r="X29" s="53"/>
      <c r="Y29" s="53"/>
      <c r="Z29" s="37" t="s">
        <v>116</v>
      </c>
      <c r="AA29" s="37" t="s">
        <v>118</v>
      </c>
      <c r="AB29" s="53"/>
      <c r="AC29" s="52"/>
      <c r="AD29" s="37" t="s">
        <v>531</v>
      </c>
    </row>
    <row r="30" spans="1:30" ht="15" x14ac:dyDescent="0.25">
      <c r="A30" s="37" t="s">
        <v>30</v>
      </c>
      <c r="B30" s="44" t="s">
        <v>279</v>
      </c>
      <c r="C30" s="37" t="s">
        <v>516</v>
      </c>
      <c r="D30" s="37" t="s">
        <v>563</v>
      </c>
      <c r="E30" s="44" t="s">
        <v>564</v>
      </c>
      <c r="F30" s="37" t="s">
        <v>109</v>
      </c>
      <c r="G30" s="44" t="s">
        <v>110</v>
      </c>
      <c r="H30" s="45" t="s">
        <v>113</v>
      </c>
      <c r="I30" s="37" t="s">
        <v>523</v>
      </c>
      <c r="J30" s="50"/>
      <c r="K30" s="50"/>
      <c r="L30" s="50"/>
      <c r="M30" s="50"/>
      <c r="N30" s="50"/>
      <c r="O30" s="51"/>
      <c r="P30" s="53"/>
      <c r="Q30" s="38" t="s">
        <v>17</v>
      </c>
      <c r="R30" s="53"/>
      <c r="S30" s="53"/>
      <c r="T30" s="53"/>
      <c r="U30" s="53"/>
      <c r="V30" s="53"/>
      <c r="W30" s="53"/>
      <c r="X30" s="53"/>
      <c r="Y30" s="53"/>
      <c r="Z30" s="37" t="s">
        <v>111</v>
      </c>
      <c r="AA30" s="37" t="s">
        <v>113</v>
      </c>
      <c r="AB30" s="53"/>
      <c r="AC30" s="52"/>
      <c r="AD30" s="37" t="s">
        <v>531</v>
      </c>
    </row>
    <row r="31" spans="1:30" x14ac:dyDescent="0.2">
      <c r="Q31" s="38"/>
    </row>
    <row r="32" spans="1:30" x14ac:dyDescent="0.2">
      <c r="A32" s="54" t="s">
        <v>131</v>
      </c>
      <c r="B32" s="55" t="s">
        <v>284</v>
      </c>
      <c r="C32" s="56" t="s">
        <v>504</v>
      </c>
      <c r="D32" s="56" t="s">
        <v>505</v>
      </c>
      <c r="E32" s="55" t="s">
        <v>506</v>
      </c>
      <c r="F32" s="56" t="s">
        <v>132</v>
      </c>
      <c r="G32" s="55" t="s">
        <v>136</v>
      </c>
      <c r="H32" s="57" t="s">
        <v>507</v>
      </c>
      <c r="I32" s="56" t="s">
        <v>508</v>
      </c>
      <c r="J32" s="37" t="s">
        <v>510</v>
      </c>
      <c r="L32" s="53"/>
      <c r="M32" s="37" t="s">
        <v>511</v>
      </c>
      <c r="O32" s="44" t="s">
        <v>512</v>
      </c>
      <c r="P32" s="53"/>
      <c r="Q32" s="38" t="s">
        <v>134</v>
      </c>
      <c r="R32" s="37" t="s">
        <v>515</v>
      </c>
      <c r="S32" s="37" t="s">
        <v>514</v>
      </c>
      <c r="T32" s="37" t="s">
        <v>136</v>
      </c>
      <c r="U32" s="53"/>
      <c r="V32" s="53"/>
      <c r="W32" s="53"/>
      <c r="X32" s="53"/>
      <c r="Y32" s="37" t="s">
        <v>509</v>
      </c>
      <c r="Z32" s="37" t="s">
        <v>513</v>
      </c>
      <c r="AA32" s="37" t="s">
        <v>136</v>
      </c>
      <c r="AB32" s="53"/>
      <c r="AC32" s="52"/>
      <c r="AD32" s="37" t="s">
        <v>504</v>
      </c>
    </row>
    <row r="33" spans="1:30" ht="15" x14ac:dyDescent="0.25">
      <c r="A33" s="56" t="s">
        <v>30</v>
      </c>
      <c r="B33" s="55" t="s">
        <v>285</v>
      </c>
      <c r="C33" s="58"/>
      <c r="D33" s="58"/>
      <c r="E33" s="59"/>
      <c r="F33" s="58"/>
      <c r="G33" s="60"/>
      <c r="H33" s="61"/>
      <c r="I33" s="56" t="s">
        <v>508</v>
      </c>
      <c r="J33" s="37" t="s">
        <v>510</v>
      </c>
      <c r="L33" s="53"/>
      <c r="M33" s="37" t="s">
        <v>511</v>
      </c>
      <c r="O33" s="44" t="s">
        <v>512</v>
      </c>
      <c r="P33" s="53"/>
      <c r="Q33" s="38" t="s">
        <v>135</v>
      </c>
      <c r="R33" s="53"/>
      <c r="S33" s="53"/>
      <c r="T33" s="53"/>
      <c r="U33" s="53"/>
      <c r="V33" s="53"/>
      <c r="W33" s="53"/>
      <c r="X33" s="53"/>
      <c r="Y33" s="53"/>
      <c r="Z33" s="53"/>
      <c r="AA33" s="53"/>
      <c r="AB33" s="53"/>
      <c r="AC33" s="52"/>
    </row>
    <row r="34" spans="1:30" ht="15" x14ac:dyDescent="0.25">
      <c r="A34" s="56" t="s">
        <v>30</v>
      </c>
      <c r="B34" s="55" t="s">
        <v>286</v>
      </c>
      <c r="C34" s="58"/>
      <c r="D34" s="58"/>
      <c r="E34" s="59"/>
      <c r="F34" s="58"/>
      <c r="G34" s="60"/>
      <c r="H34" s="61"/>
      <c r="I34" s="56" t="s">
        <v>508</v>
      </c>
      <c r="J34" s="37" t="s">
        <v>510</v>
      </c>
      <c r="L34" s="53"/>
      <c r="M34" s="37" t="s">
        <v>511</v>
      </c>
      <c r="O34" s="44" t="s">
        <v>512</v>
      </c>
      <c r="P34" s="53"/>
      <c r="Q34" s="38" t="s">
        <v>66</v>
      </c>
      <c r="R34" s="53"/>
      <c r="S34" s="53"/>
      <c r="T34" s="53"/>
      <c r="U34" s="53"/>
      <c r="V34" s="53"/>
      <c r="W34" s="53"/>
      <c r="X34" s="53"/>
      <c r="Y34" s="53"/>
      <c r="Z34" s="53"/>
      <c r="AA34" s="53"/>
      <c r="AB34" s="53"/>
      <c r="AC34" s="52"/>
    </row>
    <row r="35" spans="1:30" ht="15" x14ac:dyDescent="0.25">
      <c r="A35" s="56" t="s">
        <v>30</v>
      </c>
      <c r="B35" s="55" t="s">
        <v>287</v>
      </c>
      <c r="C35" s="58"/>
      <c r="D35" s="58"/>
      <c r="E35" s="59"/>
      <c r="F35" s="58"/>
      <c r="G35" s="60"/>
      <c r="H35" s="61"/>
      <c r="I35" s="56" t="s">
        <v>508</v>
      </c>
      <c r="J35" s="37" t="s">
        <v>510</v>
      </c>
      <c r="L35" s="53"/>
      <c r="M35" s="37" t="s">
        <v>511</v>
      </c>
      <c r="O35" s="44" t="s">
        <v>512</v>
      </c>
      <c r="P35" s="53"/>
      <c r="Q35" s="38" t="s">
        <v>139</v>
      </c>
      <c r="R35" s="53"/>
      <c r="S35" s="53"/>
      <c r="T35" s="53"/>
      <c r="U35" s="53"/>
      <c r="V35" s="53"/>
      <c r="W35" s="53"/>
      <c r="X35" s="53"/>
      <c r="Y35" s="53"/>
      <c r="Z35" s="53"/>
      <c r="AA35" s="53"/>
      <c r="AB35" s="53"/>
      <c r="AC35" s="52"/>
    </row>
    <row r="36" spans="1:30" ht="15" x14ac:dyDescent="0.25">
      <c r="A36" s="56" t="s">
        <v>30</v>
      </c>
      <c r="B36" s="55" t="s">
        <v>288</v>
      </c>
      <c r="C36" s="58"/>
      <c r="D36" s="58"/>
      <c r="E36" s="59"/>
      <c r="F36" s="58"/>
      <c r="G36" s="60"/>
      <c r="H36" s="61"/>
      <c r="I36" s="56" t="s">
        <v>508</v>
      </c>
      <c r="J36" s="37" t="s">
        <v>510</v>
      </c>
      <c r="L36" s="53"/>
      <c r="M36" s="37" t="s">
        <v>511</v>
      </c>
      <c r="O36" s="44" t="s">
        <v>512</v>
      </c>
      <c r="P36" s="53"/>
      <c r="Q36" s="38" t="s">
        <v>140</v>
      </c>
      <c r="R36" s="53"/>
      <c r="S36" s="53"/>
      <c r="T36" s="53"/>
      <c r="U36" s="53"/>
      <c r="V36" s="53"/>
      <c r="W36" s="53"/>
      <c r="X36" s="53"/>
      <c r="Y36" s="53"/>
      <c r="Z36" s="53"/>
      <c r="AA36" s="53"/>
      <c r="AB36" s="53"/>
      <c r="AC36" s="52"/>
    </row>
    <row r="37" spans="1:30" x14ac:dyDescent="0.2">
      <c r="Q37" s="38"/>
    </row>
    <row r="38" spans="1:30" x14ac:dyDescent="0.2">
      <c r="A38" s="42" t="s">
        <v>141</v>
      </c>
      <c r="B38" s="44" t="s">
        <v>289</v>
      </c>
      <c r="C38" s="37" t="s">
        <v>478</v>
      </c>
      <c r="D38" s="37" t="s">
        <v>478</v>
      </c>
      <c r="E38" s="44" t="s">
        <v>479</v>
      </c>
      <c r="F38" s="37" t="s">
        <v>142</v>
      </c>
      <c r="G38" s="44" t="s">
        <v>146</v>
      </c>
      <c r="H38" s="45" t="s">
        <v>480</v>
      </c>
      <c r="I38" s="37" t="s">
        <v>481</v>
      </c>
      <c r="J38" s="37" t="s">
        <v>482</v>
      </c>
      <c r="L38" s="53"/>
      <c r="M38" s="37" t="s">
        <v>483</v>
      </c>
      <c r="O38" s="44" t="s">
        <v>484</v>
      </c>
      <c r="P38" s="53"/>
      <c r="Q38" s="38" t="s">
        <v>134</v>
      </c>
      <c r="R38" s="37" t="s">
        <v>487</v>
      </c>
      <c r="S38" s="37" t="s">
        <v>486</v>
      </c>
      <c r="T38" s="37" t="s">
        <v>485</v>
      </c>
      <c r="U38" s="53"/>
      <c r="V38" s="53"/>
      <c r="W38" s="53"/>
      <c r="X38" s="53"/>
      <c r="Y38" s="53"/>
      <c r="Z38" s="37" t="s">
        <v>144</v>
      </c>
      <c r="AA38" s="37" t="s">
        <v>146</v>
      </c>
      <c r="AB38" s="53"/>
      <c r="AC38" s="52"/>
      <c r="AD38" s="37" t="s">
        <v>478</v>
      </c>
    </row>
    <row r="39" spans="1:30" x14ac:dyDescent="0.2">
      <c r="Q39" s="38"/>
    </row>
    <row r="40" spans="1:30" x14ac:dyDescent="0.2">
      <c r="A40" s="42" t="s">
        <v>147</v>
      </c>
      <c r="B40" s="44" t="s">
        <v>290</v>
      </c>
      <c r="C40" s="37" t="s">
        <v>488</v>
      </c>
      <c r="D40" s="37" t="s">
        <v>489</v>
      </c>
      <c r="E40" s="44" t="s">
        <v>490</v>
      </c>
      <c r="F40" s="37" t="s">
        <v>148</v>
      </c>
      <c r="G40" s="44" t="s">
        <v>360</v>
      </c>
      <c r="H40" s="45" t="s">
        <v>150</v>
      </c>
      <c r="I40" s="37" t="s">
        <v>491</v>
      </c>
      <c r="J40" s="37" t="s">
        <v>493</v>
      </c>
      <c r="L40" s="53"/>
      <c r="M40" s="37" t="s">
        <v>494</v>
      </c>
      <c r="O40" s="44" t="s">
        <v>495</v>
      </c>
      <c r="P40" s="53"/>
      <c r="Q40" s="38" t="s">
        <v>74</v>
      </c>
      <c r="R40" s="37" t="s">
        <v>498</v>
      </c>
      <c r="T40" s="37" t="s">
        <v>496</v>
      </c>
      <c r="U40" s="53"/>
      <c r="V40" s="53"/>
      <c r="W40" s="53"/>
      <c r="X40" s="53"/>
      <c r="Y40" s="37" t="s">
        <v>492</v>
      </c>
      <c r="Z40" s="37" t="s">
        <v>151</v>
      </c>
      <c r="AA40" s="37" t="s">
        <v>150</v>
      </c>
      <c r="AB40" s="53"/>
      <c r="AC40" s="44" t="s">
        <v>497</v>
      </c>
      <c r="AD40" s="37" t="s">
        <v>490</v>
      </c>
    </row>
    <row r="41" spans="1:30" x14ac:dyDescent="0.2">
      <c r="A41" s="37" t="s">
        <v>30</v>
      </c>
      <c r="B41" s="44" t="s">
        <v>291</v>
      </c>
      <c r="C41" s="37" t="s">
        <v>488</v>
      </c>
      <c r="D41" s="37" t="s">
        <v>499</v>
      </c>
      <c r="E41" s="44" t="s">
        <v>500</v>
      </c>
      <c r="F41" s="37" t="s">
        <v>152</v>
      </c>
      <c r="G41" s="44" t="s">
        <v>361</v>
      </c>
      <c r="H41" s="45" t="s">
        <v>501</v>
      </c>
      <c r="I41" s="37" t="s">
        <v>491</v>
      </c>
      <c r="J41" s="37" t="s">
        <v>493</v>
      </c>
      <c r="L41" s="53"/>
      <c r="M41" s="37" t="s">
        <v>494</v>
      </c>
      <c r="O41" s="44" t="s">
        <v>495</v>
      </c>
      <c r="P41" s="53"/>
      <c r="Q41" s="38" t="s">
        <v>74</v>
      </c>
      <c r="R41" s="37" t="s">
        <v>498</v>
      </c>
      <c r="T41" s="53"/>
      <c r="U41" s="53"/>
      <c r="V41" s="53"/>
      <c r="W41" s="53"/>
      <c r="X41" s="53"/>
      <c r="Y41" s="53"/>
      <c r="Z41" s="37" t="s">
        <v>154</v>
      </c>
      <c r="AA41" s="53"/>
      <c r="AB41" s="53"/>
      <c r="AC41" s="44" t="s">
        <v>502</v>
      </c>
      <c r="AD41" s="37" t="s">
        <v>503</v>
      </c>
    </row>
    <row r="42" spans="1:30" x14ac:dyDescent="0.2">
      <c r="Q42" s="38"/>
    </row>
    <row r="43" spans="1:30" x14ac:dyDescent="0.2">
      <c r="A43" s="42" t="s">
        <v>155</v>
      </c>
      <c r="B43" s="44" t="s">
        <v>292</v>
      </c>
      <c r="C43" s="53"/>
      <c r="D43" s="53"/>
      <c r="E43" s="52"/>
      <c r="F43" s="37" t="s">
        <v>156</v>
      </c>
      <c r="G43" s="44" t="s">
        <v>354</v>
      </c>
      <c r="H43" s="68" t="s">
        <v>627</v>
      </c>
      <c r="I43" s="67" t="s">
        <v>491</v>
      </c>
      <c r="J43" s="67" t="s">
        <v>493</v>
      </c>
      <c r="K43" s="67"/>
      <c r="L43" s="67" t="s">
        <v>629</v>
      </c>
      <c r="M43" s="67" t="s">
        <v>494</v>
      </c>
      <c r="N43" s="53"/>
      <c r="O43" s="44" t="s">
        <v>495</v>
      </c>
      <c r="P43" s="53"/>
      <c r="Q43" s="38" t="s">
        <v>159</v>
      </c>
      <c r="R43" s="67" t="s">
        <v>631</v>
      </c>
      <c r="S43" s="53"/>
      <c r="T43" s="53" t="s">
        <v>30</v>
      </c>
      <c r="U43" s="67" t="s">
        <v>628</v>
      </c>
      <c r="V43" s="53" t="s">
        <v>30</v>
      </c>
      <c r="W43" s="53"/>
      <c r="X43" s="53"/>
      <c r="Y43" s="53" t="s">
        <v>30</v>
      </c>
      <c r="Z43" s="37" t="s">
        <v>630</v>
      </c>
      <c r="AA43" s="37" t="s">
        <v>160</v>
      </c>
      <c r="AB43" s="53"/>
      <c r="AC43" s="44" t="s">
        <v>158</v>
      </c>
    </row>
    <row r="44" spans="1:30" x14ac:dyDescent="0.2">
      <c r="A44" s="37" t="s">
        <v>30</v>
      </c>
      <c r="B44" s="44" t="s">
        <v>293</v>
      </c>
      <c r="C44" s="53"/>
      <c r="D44" s="53"/>
      <c r="E44" s="52"/>
      <c r="F44" s="37" t="s">
        <v>162</v>
      </c>
      <c r="G44" s="44" t="s">
        <v>353</v>
      </c>
      <c r="H44" s="68" t="s">
        <v>633</v>
      </c>
      <c r="I44" s="67" t="s">
        <v>491</v>
      </c>
      <c r="J44" s="67" t="s">
        <v>493</v>
      </c>
      <c r="K44" s="67"/>
      <c r="L44" s="67" t="s">
        <v>629</v>
      </c>
      <c r="M44" s="67" t="s">
        <v>494</v>
      </c>
      <c r="N44" s="53"/>
      <c r="O44" s="44" t="s">
        <v>495</v>
      </c>
      <c r="P44" s="53"/>
      <c r="Q44" s="38" t="s">
        <v>159</v>
      </c>
      <c r="R44" s="67" t="s">
        <v>631</v>
      </c>
      <c r="S44" s="53"/>
      <c r="T44" s="53" t="s">
        <v>30</v>
      </c>
      <c r="U44" s="67" t="s">
        <v>628</v>
      </c>
      <c r="V44" s="53" t="s">
        <v>30</v>
      </c>
      <c r="W44" s="53"/>
      <c r="X44" s="53"/>
      <c r="Y44" s="53"/>
      <c r="Z44" s="37" t="s">
        <v>166</v>
      </c>
      <c r="AA44" s="37" t="s">
        <v>165</v>
      </c>
      <c r="AB44" s="53"/>
      <c r="AC44" s="44" t="s">
        <v>632</v>
      </c>
    </row>
    <row r="45" spans="1:30" x14ac:dyDescent="0.2">
      <c r="A45" s="37" t="s">
        <v>30</v>
      </c>
      <c r="B45" s="44" t="s">
        <v>294</v>
      </c>
      <c r="C45" s="53"/>
      <c r="D45" s="53"/>
      <c r="E45" s="52"/>
      <c r="F45" s="37" t="s">
        <v>167</v>
      </c>
      <c r="G45" s="44" t="s">
        <v>352</v>
      </c>
      <c r="H45" s="68" t="s">
        <v>634</v>
      </c>
      <c r="I45" s="67" t="s">
        <v>491</v>
      </c>
      <c r="J45" s="67" t="s">
        <v>493</v>
      </c>
      <c r="K45" s="67"/>
      <c r="L45" s="67" t="s">
        <v>629</v>
      </c>
      <c r="M45" s="67" t="s">
        <v>494</v>
      </c>
      <c r="N45" s="53"/>
      <c r="O45" s="44" t="s">
        <v>495</v>
      </c>
      <c r="P45" s="53"/>
      <c r="Q45" s="38" t="s">
        <v>159</v>
      </c>
      <c r="R45" s="67" t="s">
        <v>631</v>
      </c>
      <c r="S45" s="53"/>
      <c r="T45" s="53" t="s">
        <v>30</v>
      </c>
      <c r="U45" s="67" t="s">
        <v>628</v>
      </c>
      <c r="V45" s="53" t="s">
        <v>30</v>
      </c>
      <c r="W45" s="53"/>
      <c r="X45" s="53"/>
      <c r="Y45" s="53"/>
      <c r="Z45" s="37" t="s">
        <v>171</v>
      </c>
      <c r="AA45" s="37" t="s">
        <v>170</v>
      </c>
      <c r="AB45" s="53"/>
      <c r="AC45" s="44" t="s">
        <v>169</v>
      </c>
    </row>
    <row r="46" spans="1:30" x14ac:dyDescent="0.2">
      <c r="A46" s="37" t="s">
        <v>30</v>
      </c>
      <c r="B46" s="44" t="s">
        <v>295</v>
      </c>
      <c r="C46" s="53"/>
      <c r="D46" s="53"/>
      <c r="E46" s="52"/>
      <c r="F46" s="37" t="s">
        <v>172</v>
      </c>
      <c r="G46" s="44" t="s">
        <v>351</v>
      </c>
      <c r="H46" s="68" t="s">
        <v>635</v>
      </c>
      <c r="I46" s="67" t="s">
        <v>491</v>
      </c>
      <c r="J46" s="67" t="s">
        <v>493</v>
      </c>
      <c r="K46" s="67"/>
      <c r="L46" s="67" t="s">
        <v>629</v>
      </c>
      <c r="M46" s="67" t="s">
        <v>494</v>
      </c>
      <c r="N46" s="53"/>
      <c r="O46" s="44" t="s">
        <v>495</v>
      </c>
      <c r="P46" s="53"/>
      <c r="Q46" s="38" t="s">
        <v>159</v>
      </c>
      <c r="R46" s="67" t="s">
        <v>631</v>
      </c>
      <c r="S46" s="53"/>
      <c r="T46" s="53" t="s">
        <v>30</v>
      </c>
      <c r="U46" s="67" t="s">
        <v>628</v>
      </c>
      <c r="V46" s="53" t="s">
        <v>30</v>
      </c>
      <c r="W46" s="53"/>
      <c r="X46" s="53"/>
      <c r="Y46" s="53"/>
      <c r="Z46" s="37" t="s">
        <v>176</v>
      </c>
      <c r="AA46" s="37" t="s">
        <v>175</v>
      </c>
      <c r="AB46" s="53"/>
      <c r="AC46" s="44" t="s">
        <v>174</v>
      </c>
    </row>
    <row r="47" spans="1:30" x14ac:dyDescent="0.2">
      <c r="Q47" s="38"/>
    </row>
    <row r="48" spans="1:30" x14ac:dyDescent="0.2">
      <c r="A48" s="42" t="s">
        <v>177</v>
      </c>
      <c r="B48" s="44" t="s">
        <v>296</v>
      </c>
      <c r="C48" s="37" t="s">
        <v>473</v>
      </c>
      <c r="D48" s="37" t="s">
        <v>474</v>
      </c>
      <c r="E48" s="44" t="s">
        <v>475</v>
      </c>
      <c r="F48" s="37" t="s">
        <v>178</v>
      </c>
      <c r="G48" s="44" t="s">
        <v>180</v>
      </c>
      <c r="H48" s="45" t="s">
        <v>476</v>
      </c>
      <c r="I48" s="37" t="s">
        <v>469</v>
      </c>
      <c r="J48" s="37" t="s">
        <v>396</v>
      </c>
      <c r="L48" s="53"/>
      <c r="M48" s="37" t="s">
        <v>397</v>
      </c>
      <c r="N48" s="37" t="s">
        <v>470</v>
      </c>
      <c r="O48" s="44" t="s">
        <v>398</v>
      </c>
      <c r="P48" s="53"/>
      <c r="Q48" s="38" t="s">
        <v>181</v>
      </c>
      <c r="R48" s="37" t="s">
        <v>205</v>
      </c>
      <c r="S48" s="37" t="s">
        <v>477</v>
      </c>
      <c r="T48" s="37" t="s">
        <v>471</v>
      </c>
      <c r="U48" s="53"/>
      <c r="V48" s="53"/>
      <c r="W48" s="53"/>
      <c r="X48" s="53"/>
      <c r="Y48" s="53"/>
      <c r="Z48" s="37" t="s">
        <v>183</v>
      </c>
      <c r="AA48" s="37" t="s">
        <v>180</v>
      </c>
      <c r="AB48" s="53"/>
      <c r="AC48" s="52"/>
      <c r="AD48" s="37" t="s">
        <v>475</v>
      </c>
    </row>
    <row r="49" spans="1:30" x14ac:dyDescent="0.2">
      <c r="A49" s="37" t="s">
        <v>30</v>
      </c>
      <c r="B49" s="44" t="s">
        <v>297</v>
      </c>
      <c r="C49" s="37" t="s">
        <v>466</v>
      </c>
      <c r="D49" s="37" t="s">
        <v>467</v>
      </c>
      <c r="E49" s="44" t="s">
        <v>467</v>
      </c>
      <c r="F49" s="37" t="s">
        <v>184</v>
      </c>
      <c r="G49" s="44" t="s">
        <v>185</v>
      </c>
      <c r="H49" s="45" t="s">
        <v>468</v>
      </c>
      <c r="I49" s="37" t="s">
        <v>469</v>
      </c>
      <c r="J49" s="37" t="s">
        <v>396</v>
      </c>
      <c r="L49" s="53"/>
      <c r="M49" s="37" t="s">
        <v>397</v>
      </c>
      <c r="N49" s="37" t="s">
        <v>470</v>
      </c>
      <c r="O49" s="44" t="s">
        <v>398</v>
      </c>
      <c r="P49" s="53"/>
      <c r="Q49" s="38" t="s">
        <v>181</v>
      </c>
      <c r="R49" s="37" t="s">
        <v>205</v>
      </c>
      <c r="S49" s="37" t="s">
        <v>472</v>
      </c>
      <c r="T49" s="37" t="s">
        <v>471</v>
      </c>
      <c r="U49" s="53"/>
      <c r="V49" s="53"/>
      <c r="W49" s="53"/>
      <c r="X49" s="53"/>
      <c r="Y49" s="53"/>
      <c r="Z49" s="37" t="s">
        <v>18</v>
      </c>
      <c r="AA49" s="37" t="s">
        <v>185</v>
      </c>
      <c r="AB49" s="53"/>
      <c r="AC49" s="52"/>
      <c r="AD49" s="37" t="s">
        <v>467</v>
      </c>
    </row>
    <row r="50" spans="1:30" x14ac:dyDescent="0.2">
      <c r="Q50" s="38"/>
    </row>
    <row r="51" spans="1:30" x14ac:dyDescent="0.2">
      <c r="A51" s="42" t="s">
        <v>186</v>
      </c>
      <c r="B51" s="44" t="s">
        <v>298</v>
      </c>
      <c r="C51" s="37" t="s">
        <v>427</v>
      </c>
      <c r="D51" s="37" t="s">
        <v>427</v>
      </c>
      <c r="E51" s="44" t="s">
        <v>428</v>
      </c>
      <c r="F51" s="37" t="s">
        <v>187</v>
      </c>
      <c r="G51" s="44" t="s">
        <v>191</v>
      </c>
      <c r="H51" s="45" t="s">
        <v>429</v>
      </c>
      <c r="I51" s="37" t="s">
        <v>409</v>
      </c>
      <c r="J51" s="37" t="s">
        <v>420</v>
      </c>
      <c r="L51" s="53"/>
      <c r="M51" s="37" t="s">
        <v>421</v>
      </c>
      <c r="O51" s="44" t="s">
        <v>422</v>
      </c>
      <c r="P51" s="37" t="s">
        <v>423</v>
      </c>
      <c r="Q51" s="38" t="s">
        <v>92</v>
      </c>
      <c r="R51" s="53"/>
      <c r="S51" s="37" t="s">
        <v>424</v>
      </c>
      <c r="T51" s="53"/>
      <c r="U51" s="37" t="s">
        <v>430</v>
      </c>
      <c r="V51" s="53"/>
      <c r="W51" s="53"/>
      <c r="X51" s="53"/>
      <c r="Y51" s="53"/>
      <c r="Z51" s="37" t="s">
        <v>190</v>
      </c>
      <c r="AA51" s="37" t="s">
        <v>191</v>
      </c>
      <c r="AB51" s="53"/>
      <c r="AC51" s="52"/>
      <c r="AD51" s="37" t="s">
        <v>427</v>
      </c>
    </row>
    <row r="52" spans="1:30" x14ac:dyDescent="0.2">
      <c r="A52" s="37" t="s">
        <v>30</v>
      </c>
      <c r="B52" s="44" t="s">
        <v>299</v>
      </c>
      <c r="C52" s="37" t="s">
        <v>417</v>
      </c>
      <c r="D52" s="37" t="s">
        <v>417</v>
      </c>
      <c r="E52" s="44" t="s">
        <v>418</v>
      </c>
      <c r="F52" s="37" t="s">
        <v>192</v>
      </c>
      <c r="G52" s="44" t="s">
        <v>195</v>
      </c>
      <c r="H52" s="45" t="s">
        <v>419</v>
      </c>
      <c r="I52" s="37" t="s">
        <v>409</v>
      </c>
      <c r="J52" s="37" t="s">
        <v>420</v>
      </c>
      <c r="L52" s="53"/>
      <c r="M52" s="37" t="s">
        <v>421</v>
      </c>
      <c r="O52" s="44" t="s">
        <v>422</v>
      </c>
      <c r="P52" s="37" t="s">
        <v>423</v>
      </c>
      <c r="Q52" s="38" t="s">
        <v>92</v>
      </c>
      <c r="R52" s="53"/>
      <c r="S52" s="37" t="s">
        <v>424</v>
      </c>
      <c r="T52" s="53"/>
      <c r="U52" s="37" t="s">
        <v>426</v>
      </c>
      <c r="V52" s="53"/>
      <c r="W52" s="53"/>
      <c r="X52" s="53"/>
      <c r="Y52" s="53"/>
      <c r="Z52" s="37" t="s">
        <v>194</v>
      </c>
      <c r="AA52" s="37" t="s">
        <v>195</v>
      </c>
      <c r="AB52" s="53"/>
      <c r="AC52" s="52"/>
      <c r="AD52" s="37" t="s">
        <v>417</v>
      </c>
    </row>
    <row r="53" spans="1:30" x14ac:dyDescent="0.2">
      <c r="A53" s="37" t="s">
        <v>30</v>
      </c>
      <c r="B53" s="44" t="s">
        <v>300</v>
      </c>
      <c r="C53" s="37" t="s">
        <v>431</v>
      </c>
      <c r="D53" s="37" t="s">
        <v>431</v>
      </c>
      <c r="E53" s="44" t="s">
        <v>432</v>
      </c>
      <c r="F53" s="37" t="s">
        <v>196</v>
      </c>
      <c r="G53" s="44" t="s">
        <v>199</v>
      </c>
      <c r="H53" s="45" t="s">
        <v>429</v>
      </c>
      <c r="I53" s="37" t="s">
        <v>409</v>
      </c>
      <c r="J53" s="37" t="s">
        <v>420</v>
      </c>
      <c r="L53" s="53"/>
      <c r="M53" s="37" t="s">
        <v>421</v>
      </c>
      <c r="O53" s="44" t="s">
        <v>422</v>
      </c>
      <c r="P53" s="37" t="s">
        <v>423</v>
      </c>
      <c r="Q53" s="38" t="s">
        <v>92</v>
      </c>
      <c r="R53" s="53"/>
      <c r="S53" s="37" t="s">
        <v>424</v>
      </c>
      <c r="T53" s="53"/>
      <c r="U53" s="37" t="s">
        <v>433</v>
      </c>
      <c r="V53" s="53"/>
      <c r="W53" s="53"/>
      <c r="X53" s="53"/>
      <c r="Y53" s="53"/>
      <c r="Z53" s="37" t="s">
        <v>198</v>
      </c>
      <c r="AA53" s="37" t="s">
        <v>199</v>
      </c>
      <c r="AB53" s="53"/>
      <c r="AC53" s="52"/>
      <c r="AD53" s="37" t="s">
        <v>431</v>
      </c>
    </row>
    <row r="54" spans="1:30" x14ac:dyDescent="0.2">
      <c r="Q54" s="38"/>
    </row>
    <row r="55" spans="1:30" x14ac:dyDescent="0.2">
      <c r="A55" s="42" t="s">
        <v>200</v>
      </c>
      <c r="B55" s="44" t="s">
        <v>301</v>
      </c>
      <c r="C55" s="37" t="s">
        <v>414</v>
      </c>
      <c r="D55" s="37" t="s">
        <v>414</v>
      </c>
      <c r="E55" s="44" t="s">
        <v>415</v>
      </c>
      <c r="F55" s="37" t="s">
        <v>201</v>
      </c>
      <c r="G55" s="44" t="s">
        <v>359</v>
      </c>
      <c r="H55" s="45" t="s">
        <v>416</v>
      </c>
      <c r="I55" s="37" t="s">
        <v>409</v>
      </c>
      <c r="J55" s="37" t="s">
        <v>410</v>
      </c>
      <c r="L55" s="53"/>
      <c r="M55" s="37" t="s">
        <v>411</v>
      </c>
      <c r="O55" s="44" t="s">
        <v>412</v>
      </c>
      <c r="P55" s="37" t="s">
        <v>413</v>
      </c>
      <c r="Q55" s="38" t="s">
        <v>117</v>
      </c>
      <c r="R55" s="53"/>
      <c r="S55" s="53"/>
      <c r="T55" s="53"/>
      <c r="U55" s="53"/>
      <c r="V55" s="53"/>
      <c r="W55" s="53"/>
      <c r="X55" s="53"/>
      <c r="Y55" s="53"/>
      <c r="Z55" s="37" t="s">
        <v>205</v>
      </c>
      <c r="AA55" s="53"/>
      <c r="AB55" s="53"/>
      <c r="AC55" s="52"/>
      <c r="AD55" s="37" t="s">
        <v>414</v>
      </c>
    </row>
    <row r="56" spans="1:30" x14ac:dyDescent="0.2">
      <c r="A56" s="37" t="s">
        <v>30</v>
      </c>
      <c r="B56" s="44" t="s">
        <v>302</v>
      </c>
      <c r="C56" s="37" t="s">
        <v>406</v>
      </c>
      <c r="D56" s="37" t="s">
        <v>406</v>
      </c>
      <c r="E56" s="44" t="s">
        <v>407</v>
      </c>
      <c r="F56" s="37" t="s">
        <v>203</v>
      </c>
      <c r="G56" s="44" t="s">
        <v>358</v>
      </c>
      <c r="H56" s="45" t="s">
        <v>408</v>
      </c>
      <c r="I56" s="37" t="s">
        <v>409</v>
      </c>
      <c r="J56" s="37" t="s">
        <v>410</v>
      </c>
      <c r="L56" s="53"/>
      <c r="M56" s="37" t="s">
        <v>411</v>
      </c>
      <c r="O56" s="44" t="s">
        <v>412</v>
      </c>
      <c r="P56" s="37" t="s">
        <v>413</v>
      </c>
      <c r="Q56" s="38" t="s">
        <v>117</v>
      </c>
      <c r="R56" s="53"/>
      <c r="S56" s="53"/>
      <c r="T56" s="53"/>
      <c r="U56" s="53"/>
      <c r="V56" s="53"/>
      <c r="W56" s="53"/>
      <c r="X56" s="53"/>
      <c r="Y56" s="53"/>
      <c r="Z56" s="37" t="s">
        <v>205</v>
      </c>
      <c r="AA56" s="53"/>
      <c r="AB56" s="53"/>
      <c r="AC56" s="52"/>
      <c r="AD56" s="37" t="s">
        <v>406</v>
      </c>
    </row>
    <row r="57" spans="1:30" x14ac:dyDescent="0.2">
      <c r="Q57" s="38"/>
    </row>
    <row r="58" spans="1:30" x14ac:dyDescent="0.2">
      <c r="A58" s="42" t="s">
        <v>206</v>
      </c>
      <c r="B58" s="44" t="s">
        <v>303</v>
      </c>
      <c r="C58" s="37" t="s">
        <v>434</v>
      </c>
      <c r="D58" s="37" t="s">
        <v>435</v>
      </c>
      <c r="E58" s="44" t="s">
        <v>434</v>
      </c>
      <c r="F58" s="37" t="s">
        <v>207</v>
      </c>
      <c r="G58" s="44" t="s">
        <v>211</v>
      </c>
      <c r="H58" s="45" t="s">
        <v>436</v>
      </c>
      <c r="I58" s="37" t="s">
        <v>438</v>
      </c>
      <c r="J58" s="37" t="s">
        <v>439</v>
      </c>
      <c r="L58" s="53"/>
      <c r="M58" s="37" t="s">
        <v>440</v>
      </c>
      <c r="O58" s="44" t="s">
        <v>441</v>
      </c>
      <c r="P58" s="53"/>
      <c r="Q58" s="38" t="s">
        <v>92</v>
      </c>
      <c r="R58" s="37" t="s">
        <v>444</v>
      </c>
      <c r="S58" s="37" t="s">
        <v>209</v>
      </c>
      <c r="T58" s="37" t="s">
        <v>443</v>
      </c>
      <c r="U58" s="53"/>
      <c r="V58" s="53"/>
      <c r="W58" s="37" t="s">
        <v>446</v>
      </c>
      <c r="X58" s="53"/>
      <c r="Y58" s="53"/>
      <c r="Z58" s="37" t="s">
        <v>437</v>
      </c>
      <c r="AA58" s="37" t="s">
        <v>211</v>
      </c>
      <c r="AB58" s="53"/>
      <c r="AC58" s="52"/>
      <c r="AD58" s="37" t="s">
        <v>434</v>
      </c>
    </row>
    <row r="59" spans="1:30" x14ac:dyDescent="0.2">
      <c r="A59" s="37" t="s">
        <v>30</v>
      </c>
      <c r="B59" s="44" t="s">
        <v>304</v>
      </c>
      <c r="C59" s="37" t="s">
        <v>447</v>
      </c>
      <c r="D59" s="37" t="s">
        <v>448</v>
      </c>
      <c r="E59" s="44" t="s">
        <v>447</v>
      </c>
      <c r="F59" s="37" t="s">
        <v>212</v>
      </c>
      <c r="G59" s="44" t="s">
        <v>215</v>
      </c>
      <c r="H59" s="45" t="s">
        <v>436</v>
      </c>
      <c r="I59" s="37" t="s">
        <v>438</v>
      </c>
      <c r="J59" s="37" t="s">
        <v>439</v>
      </c>
      <c r="L59" s="53"/>
      <c r="M59" s="37" t="s">
        <v>440</v>
      </c>
      <c r="O59" s="44" t="s">
        <v>441</v>
      </c>
      <c r="P59" s="53"/>
      <c r="Q59" s="38" t="s">
        <v>92</v>
      </c>
      <c r="R59" s="37" t="s">
        <v>444</v>
      </c>
      <c r="S59" s="37" t="s">
        <v>209</v>
      </c>
      <c r="T59" s="37" t="s">
        <v>443</v>
      </c>
      <c r="U59" s="53"/>
      <c r="V59" s="53"/>
      <c r="W59" s="37" t="s">
        <v>450</v>
      </c>
      <c r="X59" s="53"/>
      <c r="Y59" s="53"/>
      <c r="Z59" s="37" t="s">
        <v>449</v>
      </c>
      <c r="AA59" s="37" t="s">
        <v>215</v>
      </c>
      <c r="AB59" s="53"/>
      <c r="AC59" s="52"/>
      <c r="AD59" s="37" t="s">
        <v>447</v>
      </c>
    </row>
    <row r="60" spans="1:30" x14ac:dyDescent="0.2">
      <c r="A60" s="37" t="s">
        <v>30</v>
      </c>
      <c r="B60" s="44" t="s">
        <v>305</v>
      </c>
      <c r="C60" s="37" t="s">
        <v>451</v>
      </c>
      <c r="D60" s="37" t="s">
        <v>452</v>
      </c>
      <c r="E60" s="44" t="s">
        <v>451</v>
      </c>
      <c r="F60" s="37" t="s">
        <v>216</v>
      </c>
      <c r="G60" s="44" t="s">
        <v>219</v>
      </c>
      <c r="H60" s="45" t="s">
        <v>436</v>
      </c>
      <c r="I60" s="37" t="s">
        <v>438</v>
      </c>
      <c r="J60" s="37" t="s">
        <v>439</v>
      </c>
      <c r="L60" s="53"/>
      <c r="M60" s="37" t="s">
        <v>440</v>
      </c>
      <c r="O60" s="44" t="s">
        <v>441</v>
      </c>
      <c r="P60" s="53"/>
      <c r="Q60" s="38" t="s">
        <v>92</v>
      </c>
      <c r="R60" s="37" t="s">
        <v>456</v>
      </c>
      <c r="T60" s="37" t="s">
        <v>454</v>
      </c>
      <c r="U60" s="53"/>
      <c r="V60" s="53"/>
      <c r="W60" s="37" t="s">
        <v>459</v>
      </c>
      <c r="X60" s="37" t="s">
        <v>458</v>
      </c>
      <c r="Y60" s="53"/>
      <c r="Z60" s="37" t="s">
        <v>453</v>
      </c>
      <c r="AA60" s="37" t="s">
        <v>219</v>
      </c>
      <c r="AB60" s="53"/>
      <c r="AC60" s="44" t="s">
        <v>455</v>
      </c>
      <c r="AD60" s="37" t="s">
        <v>451</v>
      </c>
    </row>
    <row r="61" spans="1:30" x14ac:dyDescent="0.2">
      <c r="A61" s="37" t="s">
        <v>30</v>
      </c>
      <c r="B61" s="44" t="s">
        <v>306</v>
      </c>
      <c r="C61" s="37" t="s">
        <v>460</v>
      </c>
      <c r="D61" s="37" t="s">
        <v>461</v>
      </c>
      <c r="E61" s="44" t="s">
        <v>460</v>
      </c>
      <c r="F61" s="37" t="s">
        <v>221</v>
      </c>
      <c r="G61" s="44" t="s">
        <v>224</v>
      </c>
      <c r="H61" s="45" t="s">
        <v>462</v>
      </c>
      <c r="I61" s="37" t="s">
        <v>438</v>
      </c>
      <c r="J61" s="37" t="s">
        <v>439</v>
      </c>
      <c r="L61" s="53"/>
      <c r="M61" s="37" t="s">
        <v>440</v>
      </c>
      <c r="O61" s="44" t="s">
        <v>441</v>
      </c>
      <c r="P61" s="53"/>
      <c r="Q61" s="38" t="s">
        <v>92</v>
      </c>
      <c r="R61" s="37" t="s">
        <v>456</v>
      </c>
      <c r="T61" s="37" t="s">
        <v>454</v>
      </c>
      <c r="U61" s="53"/>
      <c r="V61" s="53"/>
      <c r="W61" s="53"/>
      <c r="X61" s="37" t="s">
        <v>458</v>
      </c>
      <c r="Y61" s="53"/>
      <c r="Z61" s="37" t="s">
        <v>463</v>
      </c>
      <c r="AA61" s="37" t="s">
        <v>224</v>
      </c>
      <c r="AB61" s="53"/>
      <c r="AC61" s="44" t="s">
        <v>455</v>
      </c>
      <c r="AD61" s="37" t="s">
        <v>460</v>
      </c>
    </row>
    <row r="62" spans="1:30" x14ac:dyDescent="0.2">
      <c r="Q62" s="38"/>
    </row>
    <row r="63" spans="1:30" x14ac:dyDescent="0.2">
      <c r="A63" s="42" t="s">
        <v>236</v>
      </c>
      <c r="B63" s="44" t="s">
        <v>309</v>
      </c>
      <c r="C63" s="37" t="s">
        <v>392</v>
      </c>
      <c r="D63" s="37" t="s">
        <v>393</v>
      </c>
      <c r="E63" s="44" t="s">
        <v>391</v>
      </c>
      <c r="F63" s="37" t="s">
        <v>237</v>
      </c>
      <c r="G63" s="44" t="s">
        <v>248</v>
      </c>
      <c r="H63" s="45" t="s">
        <v>240</v>
      </c>
      <c r="I63" s="37" t="s">
        <v>395</v>
      </c>
      <c r="J63" s="37" t="s">
        <v>396</v>
      </c>
      <c r="L63" s="53"/>
      <c r="M63" s="37" t="s">
        <v>397</v>
      </c>
      <c r="O63" s="44" t="s">
        <v>398</v>
      </c>
      <c r="P63" s="53"/>
      <c r="Q63" s="38" t="s">
        <v>181</v>
      </c>
      <c r="R63" s="37" t="s">
        <v>399</v>
      </c>
      <c r="S63" s="53"/>
      <c r="T63" s="53"/>
      <c r="U63" s="53"/>
      <c r="V63" s="53"/>
      <c r="W63" s="53"/>
      <c r="X63" s="53"/>
      <c r="Y63" s="37" t="s">
        <v>400</v>
      </c>
      <c r="Z63" s="37" t="s">
        <v>394</v>
      </c>
      <c r="AA63" s="37" t="s">
        <v>240</v>
      </c>
      <c r="AB63" s="53"/>
      <c r="AC63" s="52"/>
      <c r="AD63" s="37" t="s">
        <v>392</v>
      </c>
    </row>
    <row r="64" spans="1:30" x14ac:dyDescent="0.2">
      <c r="A64" s="37" t="s">
        <v>30</v>
      </c>
      <c r="B64" s="44" t="s">
        <v>310</v>
      </c>
      <c r="C64" s="37" t="s">
        <v>403</v>
      </c>
      <c r="D64" s="37" t="s">
        <v>404</v>
      </c>
      <c r="E64" s="44" t="s">
        <v>402</v>
      </c>
      <c r="F64" s="37" t="s">
        <v>241</v>
      </c>
      <c r="G64" s="44" t="s">
        <v>252</v>
      </c>
      <c r="H64" s="45" t="s">
        <v>245</v>
      </c>
      <c r="J64" s="37" t="s">
        <v>396</v>
      </c>
      <c r="L64" s="53"/>
      <c r="M64" s="37" t="s">
        <v>397</v>
      </c>
      <c r="O64" s="44" t="s">
        <v>398</v>
      </c>
      <c r="P64" s="53"/>
      <c r="Q64" s="38" t="s">
        <v>181</v>
      </c>
      <c r="R64" s="37" t="s">
        <v>399</v>
      </c>
      <c r="S64" s="53"/>
      <c r="T64" s="53"/>
      <c r="U64" s="53"/>
      <c r="V64" s="53"/>
      <c r="W64" s="53"/>
      <c r="X64" s="53"/>
      <c r="Y64" s="37" t="s">
        <v>400</v>
      </c>
      <c r="Z64" s="37" t="s">
        <v>405</v>
      </c>
      <c r="AA64" s="37" t="s">
        <v>245</v>
      </c>
      <c r="AB64" s="53"/>
      <c r="AC64" s="52"/>
    </row>
    <row r="65" spans="1:30" x14ac:dyDescent="0.2">
      <c r="Q65" s="38"/>
    </row>
    <row r="66" spans="1:30" x14ac:dyDescent="0.2">
      <c r="A66" s="37" t="s">
        <v>30</v>
      </c>
      <c r="B66" s="44" t="s">
        <v>311</v>
      </c>
      <c r="C66" s="37" t="s">
        <v>390</v>
      </c>
      <c r="D66" s="37" t="s">
        <v>389</v>
      </c>
      <c r="E66" s="44" t="s">
        <v>388</v>
      </c>
      <c r="F66" s="37" t="s">
        <v>246</v>
      </c>
      <c r="G66" s="44" t="s">
        <v>357</v>
      </c>
      <c r="H66" s="45" t="s">
        <v>249</v>
      </c>
      <c r="I66" s="37" t="s">
        <v>382</v>
      </c>
      <c r="J66" s="37" t="s">
        <v>383</v>
      </c>
      <c r="K66" s="46">
        <v>351214489461</v>
      </c>
      <c r="L66" s="37" t="s">
        <v>386</v>
      </c>
      <c r="M66" s="37" t="s">
        <v>380</v>
      </c>
      <c r="N66" s="37" t="s">
        <v>464</v>
      </c>
      <c r="O66" s="44" t="s">
        <v>381</v>
      </c>
      <c r="P66" s="53"/>
      <c r="Q66" s="38" t="s">
        <v>231</v>
      </c>
      <c r="R66" s="53"/>
      <c r="S66" s="53"/>
      <c r="T66" s="53"/>
      <c r="U66" s="53"/>
      <c r="V66" s="53"/>
      <c r="W66" s="53"/>
      <c r="X66" s="53"/>
      <c r="Y66" s="53"/>
      <c r="Z66" s="37" t="s">
        <v>248</v>
      </c>
      <c r="AA66" s="37" t="s">
        <v>249</v>
      </c>
      <c r="AB66" s="53"/>
      <c r="AC66" s="52"/>
      <c r="AD66" s="37" t="s">
        <v>387</v>
      </c>
    </row>
    <row r="67" spans="1:30" x14ac:dyDescent="0.2">
      <c r="A67" s="37" t="s">
        <v>30</v>
      </c>
      <c r="B67" s="44" t="s">
        <v>312</v>
      </c>
      <c r="C67" s="37" t="s">
        <v>379</v>
      </c>
      <c r="D67" s="37" t="s">
        <v>378</v>
      </c>
      <c r="E67" s="44" t="s">
        <v>377</v>
      </c>
      <c r="F67" s="37" t="s">
        <v>250</v>
      </c>
      <c r="G67" s="44" t="s">
        <v>356</v>
      </c>
      <c r="H67" s="45" t="s">
        <v>253</v>
      </c>
      <c r="I67" s="37" t="s">
        <v>382</v>
      </c>
      <c r="J67" s="37" t="s">
        <v>383</v>
      </c>
      <c r="K67" s="46">
        <v>351214489461</v>
      </c>
      <c r="L67" s="37" t="s">
        <v>386</v>
      </c>
      <c r="M67" s="37" t="s">
        <v>380</v>
      </c>
      <c r="N67" s="37" t="s">
        <v>464</v>
      </c>
      <c r="O67" s="44" t="s">
        <v>381</v>
      </c>
      <c r="P67" s="53"/>
      <c r="Q67" s="38" t="s">
        <v>231</v>
      </c>
      <c r="R67" s="53"/>
      <c r="S67" s="53"/>
      <c r="T67" s="53"/>
      <c r="U67" s="53"/>
      <c r="V67" s="53"/>
      <c r="W67" s="53"/>
      <c r="X67" s="53"/>
      <c r="Y67" s="53"/>
      <c r="Z67" s="37" t="s">
        <v>252</v>
      </c>
      <c r="AA67" s="37" t="s">
        <v>253</v>
      </c>
      <c r="AB67" s="53"/>
      <c r="AC67" s="52"/>
      <c r="AD67" s="37" t="s">
        <v>387</v>
      </c>
    </row>
    <row r="69" spans="1:30" x14ac:dyDescent="0.2">
      <c r="B69" s="44" t="s">
        <v>340</v>
      </c>
      <c r="C69" s="53"/>
      <c r="D69" s="53"/>
      <c r="E69" s="52"/>
      <c r="F69" s="53"/>
      <c r="G69" s="44" t="s">
        <v>606</v>
      </c>
      <c r="H69" s="44" t="s">
        <v>340</v>
      </c>
      <c r="I69" s="37" t="s">
        <v>603</v>
      </c>
      <c r="J69" s="53"/>
      <c r="K69" s="53"/>
      <c r="L69" s="53"/>
      <c r="P69" s="37" t="s">
        <v>605</v>
      </c>
      <c r="Q69" s="37" t="s">
        <v>604</v>
      </c>
      <c r="R69" s="53"/>
      <c r="S69" s="37" t="s">
        <v>424</v>
      </c>
      <c r="T69" s="53"/>
      <c r="U69" s="37" t="s">
        <v>611</v>
      </c>
      <c r="V69" s="53"/>
      <c r="W69" s="53"/>
      <c r="X69" s="53"/>
      <c r="Y69" s="53" t="s">
        <v>30</v>
      </c>
      <c r="Z69" s="37" t="s">
        <v>612</v>
      </c>
      <c r="AA69" s="44" t="s">
        <v>606</v>
      </c>
      <c r="AB69" s="53"/>
      <c r="AC69" s="52"/>
      <c r="AD69" s="53"/>
    </row>
    <row r="70" spans="1:30" x14ac:dyDescent="0.2">
      <c r="B70" s="44" t="s">
        <v>341</v>
      </c>
      <c r="C70" s="53"/>
      <c r="D70" s="53"/>
      <c r="E70" s="52"/>
      <c r="F70" s="53"/>
      <c r="G70" s="44" t="s">
        <v>607</v>
      </c>
      <c r="H70" s="44" t="s">
        <v>341</v>
      </c>
      <c r="I70" s="37" t="s">
        <v>603</v>
      </c>
      <c r="J70" s="53"/>
      <c r="K70" s="53"/>
      <c r="L70" s="53"/>
      <c r="P70" s="37" t="s">
        <v>605</v>
      </c>
      <c r="Q70" s="37" t="s">
        <v>604</v>
      </c>
      <c r="R70" s="53"/>
      <c r="S70" s="37" t="s">
        <v>424</v>
      </c>
      <c r="T70" s="53"/>
      <c r="U70" s="37" t="s">
        <v>615</v>
      </c>
      <c r="V70" s="53"/>
      <c r="W70" s="53"/>
      <c r="X70" s="53"/>
      <c r="Y70" s="53" t="s">
        <v>30</v>
      </c>
      <c r="Z70" s="37" t="s">
        <v>616</v>
      </c>
      <c r="AA70" s="44" t="s">
        <v>607</v>
      </c>
      <c r="AB70" s="53"/>
      <c r="AC70" s="52"/>
      <c r="AD70" s="53"/>
    </row>
    <row r="71" spans="1:30" x14ac:dyDescent="0.2">
      <c r="B71" s="44" t="s">
        <v>342</v>
      </c>
      <c r="C71" s="53"/>
      <c r="D71" s="53"/>
      <c r="E71" s="52"/>
      <c r="F71" s="53"/>
      <c r="G71" s="44" t="s">
        <v>608</v>
      </c>
      <c r="H71" s="44" t="s">
        <v>342</v>
      </c>
      <c r="I71" s="37" t="s">
        <v>603</v>
      </c>
      <c r="J71" s="53"/>
      <c r="K71" s="53"/>
      <c r="L71" s="53"/>
      <c r="N71" s="37" t="s">
        <v>623</v>
      </c>
      <c r="P71" s="37" t="s">
        <v>605</v>
      </c>
      <c r="Q71" s="37" t="s">
        <v>604</v>
      </c>
      <c r="R71" s="53"/>
      <c r="S71" s="37" t="s">
        <v>424</v>
      </c>
      <c r="T71" s="53"/>
      <c r="U71" s="37" t="s">
        <v>617</v>
      </c>
      <c r="V71" s="53"/>
      <c r="W71" s="53"/>
      <c r="X71" s="53"/>
      <c r="Y71" s="53" t="s">
        <v>30</v>
      </c>
      <c r="Z71" s="37" t="s">
        <v>618</v>
      </c>
      <c r="AA71" s="44" t="s">
        <v>608</v>
      </c>
      <c r="AB71" s="53"/>
      <c r="AC71" s="52"/>
      <c r="AD71" s="53"/>
    </row>
    <row r="72" spans="1:30" x14ac:dyDescent="0.2">
      <c r="B72" s="44" t="s">
        <v>343</v>
      </c>
      <c r="C72" s="53"/>
      <c r="D72" s="53"/>
      <c r="E72" s="52"/>
      <c r="F72" s="53"/>
      <c r="G72" s="44" t="s">
        <v>609</v>
      </c>
      <c r="H72" s="44" t="s">
        <v>343</v>
      </c>
      <c r="I72" s="37" t="s">
        <v>603</v>
      </c>
      <c r="J72" s="53"/>
      <c r="K72" s="53"/>
      <c r="L72" s="53"/>
      <c r="P72" s="37" t="s">
        <v>605</v>
      </c>
      <c r="Q72" s="37" t="s">
        <v>604</v>
      </c>
      <c r="R72" s="53"/>
      <c r="S72" s="37" t="s">
        <v>424</v>
      </c>
      <c r="T72" s="53"/>
      <c r="U72" s="37" t="s">
        <v>619</v>
      </c>
      <c r="V72" s="53"/>
      <c r="W72" s="53"/>
      <c r="X72" s="53"/>
      <c r="Y72" s="53" t="s">
        <v>30</v>
      </c>
      <c r="Z72" s="37" t="s">
        <v>620</v>
      </c>
      <c r="AA72" s="44" t="s">
        <v>609</v>
      </c>
      <c r="AB72" s="53"/>
      <c r="AC72" s="52"/>
      <c r="AD72" s="53"/>
    </row>
    <row r="73" spans="1:30" x14ac:dyDescent="0.2">
      <c r="B73" s="44" t="s">
        <v>625</v>
      </c>
      <c r="C73" s="53"/>
      <c r="D73" s="53"/>
      <c r="E73" s="52"/>
      <c r="F73" s="53"/>
      <c r="G73" s="44" t="s">
        <v>626</v>
      </c>
      <c r="H73" s="44" t="s">
        <v>625</v>
      </c>
      <c r="I73" s="37" t="s">
        <v>603</v>
      </c>
      <c r="J73" s="53"/>
      <c r="K73" s="53"/>
      <c r="L73" s="53"/>
      <c r="P73" s="37" t="s">
        <v>605</v>
      </c>
      <c r="Q73" s="37" t="s">
        <v>604</v>
      </c>
      <c r="R73" s="53"/>
      <c r="S73" s="37" t="s">
        <v>424</v>
      </c>
      <c r="T73" s="53"/>
      <c r="U73" s="37" t="s">
        <v>621</v>
      </c>
      <c r="V73" s="53"/>
      <c r="W73" s="53"/>
      <c r="X73" s="53"/>
      <c r="Y73" s="53" t="s">
        <v>30</v>
      </c>
      <c r="Z73" s="37" t="s">
        <v>622</v>
      </c>
      <c r="AA73" s="44" t="s">
        <v>626</v>
      </c>
      <c r="AB73" s="53"/>
      <c r="AC73" s="52"/>
      <c r="AD73" s="53"/>
    </row>
    <row r="74" spans="1:30" x14ac:dyDescent="0.2">
      <c r="B74" s="44" t="s">
        <v>624</v>
      </c>
      <c r="C74" s="53"/>
      <c r="D74" s="53"/>
      <c r="E74" s="52"/>
      <c r="F74" s="53"/>
      <c r="G74" s="44" t="s">
        <v>610</v>
      </c>
      <c r="H74" s="44" t="s">
        <v>624</v>
      </c>
      <c r="I74" s="37" t="s">
        <v>603</v>
      </c>
      <c r="J74" s="53"/>
      <c r="K74" s="53"/>
      <c r="L74" s="53"/>
      <c r="P74" s="37" t="s">
        <v>605</v>
      </c>
      <c r="Q74" s="37" t="s">
        <v>604</v>
      </c>
      <c r="R74" s="53"/>
      <c r="S74" s="37" t="s">
        <v>424</v>
      </c>
      <c r="T74" s="53"/>
      <c r="U74" s="37" t="s">
        <v>613</v>
      </c>
      <c r="V74" s="53"/>
      <c r="W74" s="53"/>
      <c r="X74" s="53"/>
      <c r="Y74" s="53" t="s">
        <v>30</v>
      </c>
      <c r="Z74" s="62" t="s">
        <v>614</v>
      </c>
      <c r="AA74" s="44" t="s">
        <v>610</v>
      </c>
      <c r="AB74" s="53"/>
      <c r="AC74" s="52"/>
      <c r="AD74" s="53"/>
    </row>
    <row r="75" spans="1:30" ht="13.5" thickBot="1" x14ac:dyDescent="0.25">
      <c r="C75" s="39" t="s">
        <v>362</v>
      </c>
      <c r="D75" s="39" t="s">
        <v>363</v>
      </c>
      <c r="E75" s="40" t="s">
        <v>364</v>
      </c>
      <c r="F75" s="39" t="s">
        <v>0</v>
      </c>
      <c r="G75" s="40" t="s">
        <v>365</v>
      </c>
      <c r="H75" s="41" t="s">
        <v>366</v>
      </c>
      <c r="I75" s="39" t="s">
        <v>367</v>
      </c>
      <c r="J75" s="39" t="s">
        <v>368</v>
      </c>
      <c r="K75" s="39" t="s">
        <v>384</v>
      </c>
      <c r="L75" s="39" t="s">
        <v>385</v>
      </c>
      <c r="M75" s="39" t="s">
        <v>369</v>
      </c>
      <c r="N75" s="39" t="s">
        <v>465</v>
      </c>
      <c r="O75" s="40" t="s">
        <v>370</v>
      </c>
      <c r="P75" s="39" t="s">
        <v>371</v>
      </c>
      <c r="Q75" s="39" t="s">
        <v>3</v>
      </c>
      <c r="R75" s="39" t="s">
        <v>372</v>
      </c>
      <c r="S75" s="39" t="s">
        <v>373</v>
      </c>
      <c r="T75" s="39" t="s">
        <v>442</v>
      </c>
      <c r="U75" s="39" t="s">
        <v>425</v>
      </c>
      <c r="V75" s="39" t="s">
        <v>577</v>
      </c>
      <c r="W75" s="39" t="s">
        <v>445</v>
      </c>
      <c r="X75" s="39" t="s">
        <v>457</v>
      </c>
      <c r="Y75" s="39" t="s">
        <v>401</v>
      </c>
      <c r="Z75" s="39" t="s">
        <v>2</v>
      </c>
      <c r="AA75" s="39" t="s">
        <v>5</v>
      </c>
      <c r="AB75" s="39" t="s">
        <v>374</v>
      </c>
      <c r="AC75" s="40" t="s">
        <v>375</v>
      </c>
      <c r="AD75" s="39" t="s">
        <v>376</v>
      </c>
    </row>
    <row r="77" spans="1:30" x14ac:dyDescent="0.2">
      <c r="W77" s="44"/>
    </row>
    <row r="78" spans="1:30" x14ac:dyDescent="0.2">
      <c r="W78" s="44"/>
    </row>
    <row r="79" spans="1:30" x14ac:dyDescent="0.2">
      <c r="W79" s="44"/>
    </row>
    <row r="80" spans="1:30" x14ac:dyDescent="0.2">
      <c r="W80" s="44"/>
    </row>
    <row r="81" spans="23:23" x14ac:dyDescent="0.2">
      <c r="W81" s="44"/>
    </row>
    <row r="82" spans="23:23" x14ac:dyDescent="0.2">
      <c r="W82" s="4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6"/>
  <sheetViews>
    <sheetView zoomScale="60" zoomScaleNormal="60" workbookViewId="0">
      <selection activeCell="C22" sqref="C22"/>
    </sheetView>
  </sheetViews>
  <sheetFormatPr defaultColWidth="9.140625" defaultRowHeight="14.25" x14ac:dyDescent="0.2"/>
  <cols>
    <col min="1" max="1" width="18.28515625" style="29" bestFit="1" customWidth="1"/>
    <col min="2" max="2" width="15.140625" style="30" customWidth="1"/>
    <col min="3" max="3" width="15.7109375" style="22" customWidth="1"/>
    <col min="4" max="4" width="15.85546875" style="22" customWidth="1"/>
    <col min="5" max="5" width="16.42578125" style="23" customWidth="1"/>
    <col min="6" max="6" width="12.85546875" style="22" customWidth="1"/>
    <col min="7" max="7" width="14.28515625" style="22" customWidth="1"/>
    <col min="8" max="8" width="14.5703125" style="23" customWidth="1"/>
    <col min="9" max="9" width="15.7109375" style="22" customWidth="1"/>
    <col min="10" max="10" width="15.85546875" style="22" customWidth="1"/>
    <col min="11" max="11" width="16.42578125" style="23" customWidth="1"/>
    <col min="12" max="12" width="14.5703125" style="24" customWidth="1"/>
    <col min="13" max="13" width="16.42578125" style="24" customWidth="1"/>
    <col min="14" max="14" width="16.85546875" style="25" customWidth="1"/>
    <col min="15" max="15" width="14.85546875" style="29" customWidth="1"/>
    <col min="16" max="16" width="12.85546875" style="29" customWidth="1"/>
    <col min="17" max="17" width="32" style="33" bestFit="1" customWidth="1"/>
    <col min="18" max="16384" width="9.140625" style="29"/>
  </cols>
  <sheetData>
    <row r="1" spans="1:17" ht="17.25" thickBot="1" x14ac:dyDescent="0.25">
      <c r="A1" s="2" t="s">
        <v>6</v>
      </c>
      <c r="B1" s="8"/>
      <c r="C1" s="64" t="s">
        <v>345</v>
      </c>
      <c r="D1" s="64"/>
      <c r="E1" s="64"/>
      <c r="F1" s="64" t="s">
        <v>327</v>
      </c>
      <c r="G1" s="64"/>
      <c r="H1" s="64"/>
      <c r="I1" s="65" t="s">
        <v>346</v>
      </c>
      <c r="J1" s="65"/>
      <c r="K1" s="65"/>
      <c r="L1" s="66" t="s">
        <v>333</v>
      </c>
      <c r="M1" s="66"/>
      <c r="N1" s="66"/>
      <c r="O1" s="66"/>
      <c r="P1" s="66"/>
    </row>
    <row r="2" spans="1:17" ht="16.5" thickTop="1" thickBot="1" x14ac:dyDescent="0.3">
      <c r="C2" s="15" t="s">
        <v>331</v>
      </c>
      <c r="D2" s="16" t="s">
        <v>332</v>
      </c>
      <c r="E2" s="17" t="s">
        <v>326</v>
      </c>
      <c r="F2" s="16" t="s">
        <v>329</v>
      </c>
      <c r="G2" s="16" t="s">
        <v>330</v>
      </c>
      <c r="H2" s="18" t="s">
        <v>328</v>
      </c>
      <c r="I2" s="16" t="s">
        <v>331</v>
      </c>
      <c r="J2" s="16" t="s">
        <v>332</v>
      </c>
      <c r="K2" s="17" t="s">
        <v>326</v>
      </c>
      <c r="L2" s="19" t="s">
        <v>335</v>
      </c>
      <c r="M2" s="20" t="s">
        <v>336</v>
      </c>
      <c r="N2" s="21" t="s">
        <v>337</v>
      </c>
      <c r="O2" s="31" t="s">
        <v>338</v>
      </c>
      <c r="P2" s="31" t="s">
        <v>339</v>
      </c>
      <c r="Q2" s="34" t="s">
        <v>344</v>
      </c>
    </row>
    <row r="3" spans="1:17" ht="15" x14ac:dyDescent="0.25">
      <c r="A3" s="5" t="s">
        <v>7</v>
      </c>
      <c r="B3" s="11" t="s">
        <v>262</v>
      </c>
      <c r="C3" s="22">
        <v>56261281</v>
      </c>
      <c r="D3" s="22">
        <v>54585736</v>
      </c>
      <c r="E3" s="23">
        <f t="shared" ref="E3:E9" si="0">D3/C3</f>
        <v>0.97021850604503657</v>
      </c>
      <c r="F3" s="22">
        <v>111703</v>
      </c>
      <c r="G3" s="22">
        <v>105080</v>
      </c>
      <c r="H3" s="23">
        <f t="shared" ref="H3:H9" si="1">G3/F3</f>
        <v>0.94070884398807553</v>
      </c>
      <c r="I3" s="22">
        <v>33037710</v>
      </c>
      <c r="J3" s="22">
        <v>31435365</v>
      </c>
      <c r="K3" s="23">
        <f t="shared" ref="K3:K9" si="2">J3/I3</f>
        <v>0.95149951373748365</v>
      </c>
      <c r="L3">
        <v>81879</v>
      </c>
      <c r="M3">
        <v>2422</v>
      </c>
      <c r="N3">
        <v>16530</v>
      </c>
      <c r="O3">
        <v>5553</v>
      </c>
      <c r="P3">
        <v>491</v>
      </c>
      <c r="Q3" s="33">
        <f>L3/(M3+N3+O3+L3+P3)</f>
        <v>0.76611929824561409</v>
      </c>
    </row>
    <row r="4" spans="1:17" ht="15" x14ac:dyDescent="0.25">
      <c r="A4" s="3" t="s">
        <v>30</v>
      </c>
      <c r="B4" s="11" t="s">
        <v>261</v>
      </c>
      <c r="C4" s="22">
        <v>192887025</v>
      </c>
      <c r="D4" s="22">
        <v>187277595</v>
      </c>
      <c r="E4" s="23">
        <f t="shared" si="0"/>
        <v>0.97091857267226767</v>
      </c>
      <c r="F4" s="22">
        <v>373962</v>
      </c>
      <c r="G4" s="22">
        <v>350099</v>
      </c>
      <c r="H4" s="23">
        <f t="shared" si="1"/>
        <v>0.93618870366507823</v>
      </c>
      <c r="I4" s="22">
        <v>110358110</v>
      </c>
      <c r="J4" s="22">
        <v>105005513</v>
      </c>
      <c r="K4" s="23">
        <f t="shared" si="2"/>
        <v>0.95149792797285127</v>
      </c>
      <c r="L4">
        <v>275497</v>
      </c>
      <c r="M4">
        <v>5098</v>
      </c>
      <c r="N4">
        <v>55882</v>
      </c>
      <c r="O4">
        <v>18686</v>
      </c>
      <c r="P4">
        <v>1786</v>
      </c>
      <c r="Q4" s="33">
        <f t="shared" ref="Q4:Q9" si="3">L4/(M4+N4+O4+L4+P4)</f>
        <v>0.77181053876043915</v>
      </c>
    </row>
    <row r="5" spans="1:17" ht="15" x14ac:dyDescent="0.25">
      <c r="A5" s="3" t="s">
        <v>30</v>
      </c>
      <c r="B5" s="12" t="s">
        <v>260</v>
      </c>
      <c r="C5" s="22">
        <v>102587005</v>
      </c>
      <c r="D5" s="22">
        <v>99574075</v>
      </c>
      <c r="E5" s="23">
        <f t="shared" si="0"/>
        <v>0.9706304906747204</v>
      </c>
      <c r="F5" s="22">
        <v>200862</v>
      </c>
      <c r="G5" s="22">
        <v>187731</v>
      </c>
      <c r="H5" s="23">
        <f t="shared" si="1"/>
        <v>0.93462675867013179</v>
      </c>
      <c r="I5" s="22">
        <v>59163322</v>
      </c>
      <c r="J5" s="22">
        <v>56293850</v>
      </c>
      <c r="K5" s="23">
        <f t="shared" si="2"/>
        <v>0.95149913995701596</v>
      </c>
      <c r="L5">
        <v>142444</v>
      </c>
      <c r="M5">
        <v>8510</v>
      </c>
      <c r="N5">
        <v>29404</v>
      </c>
      <c r="O5">
        <v>10007</v>
      </c>
      <c r="P5">
        <v>854</v>
      </c>
      <c r="Q5" s="33">
        <f t="shared" si="3"/>
        <v>0.7449259749292696</v>
      </c>
    </row>
    <row r="6" spans="1:17" ht="15" x14ac:dyDescent="0.25">
      <c r="A6" s="3" t="s">
        <v>30</v>
      </c>
      <c r="B6" s="11" t="s">
        <v>259</v>
      </c>
      <c r="C6" s="22">
        <v>158622543</v>
      </c>
      <c r="D6" s="22">
        <v>154088748</v>
      </c>
      <c r="E6" s="23">
        <f t="shared" si="0"/>
        <v>0.97141771330699189</v>
      </c>
      <c r="F6" s="22">
        <v>302253</v>
      </c>
      <c r="G6" s="22">
        <v>283726</v>
      </c>
      <c r="H6" s="23">
        <f t="shared" si="1"/>
        <v>0.93870366878078959</v>
      </c>
      <c r="I6" s="22">
        <v>88554578</v>
      </c>
      <c r="J6" s="22">
        <v>84260918</v>
      </c>
      <c r="K6" s="23">
        <f t="shared" si="2"/>
        <v>0.95151396915922293</v>
      </c>
      <c r="L6">
        <v>224215</v>
      </c>
      <c r="M6">
        <v>7945</v>
      </c>
      <c r="N6">
        <v>41231</v>
      </c>
      <c r="O6">
        <v>12568</v>
      </c>
      <c r="P6">
        <v>1302</v>
      </c>
      <c r="Q6" s="33">
        <f t="shared" si="3"/>
        <v>0.78052711645507045</v>
      </c>
    </row>
    <row r="7" spans="1:17" ht="15" x14ac:dyDescent="0.25">
      <c r="A7" s="3" t="s">
        <v>30</v>
      </c>
      <c r="B7" s="11" t="s">
        <v>258</v>
      </c>
      <c r="C7" s="22">
        <v>52450902</v>
      </c>
      <c r="D7" s="22">
        <v>50917152</v>
      </c>
      <c r="E7" s="23">
        <f t="shared" si="0"/>
        <v>0.97075836751101063</v>
      </c>
      <c r="F7" s="22">
        <v>102250</v>
      </c>
      <c r="G7" s="22">
        <v>96189</v>
      </c>
      <c r="H7" s="23">
        <f t="shared" si="1"/>
        <v>0.94072371638141805</v>
      </c>
      <c r="I7" s="22">
        <v>30429538</v>
      </c>
      <c r="J7" s="22">
        <v>28953454</v>
      </c>
      <c r="K7" s="23">
        <f t="shared" si="2"/>
        <v>0.95149173806056475</v>
      </c>
      <c r="L7">
        <v>73658</v>
      </c>
      <c r="M7">
        <v>1109</v>
      </c>
      <c r="N7">
        <v>18258</v>
      </c>
      <c r="O7">
        <v>4088</v>
      </c>
      <c r="P7">
        <v>635</v>
      </c>
      <c r="Q7" s="33">
        <f t="shared" si="3"/>
        <v>0.75354994475590298</v>
      </c>
    </row>
    <row r="8" spans="1:17" ht="15" x14ac:dyDescent="0.25">
      <c r="B8" s="11" t="s">
        <v>256</v>
      </c>
      <c r="C8" s="22">
        <v>379854749</v>
      </c>
      <c r="D8" s="22">
        <v>369568979</v>
      </c>
      <c r="E8" s="23">
        <f t="shared" si="0"/>
        <v>0.97292183386655517</v>
      </c>
      <c r="F8" s="22">
        <v>705151</v>
      </c>
      <c r="G8" s="22">
        <v>605513</v>
      </c>
      <c r="H8" s="23">
        <f t="shared" si="1"/>
        <v>0.8586997678511411</v>
      </c>
      <c r="I8" s="22">
        <v>226031366</v>
      </c>
      <c r="J8" s="22">
        <v>215016909</v>
      </c>
      <c r="K8" s="23">
        <f t="shared" si="2"/>
        <v>0.95127022769043479</v>
      </c>
      <c r="L8">
        <v>485369</v>
      </c>
      <c r="M8">
        <v>31958</v>
      </c>
      <c r="N8">
        <v>84643</v>
      </c>
      <c r="O8">
        <v>40920</v>
      </c>
      <c r="P8">
        <v>4224</v>
      </c>
      <c r="Q8" s="33">
        <f t="shared" si="3"/>
        <v>0.75005176831284748</v>
      </c>
    </row>
    <row r="9" spans="1:17" ht="15" x14ac:dyDescent="0.25">
      <c r="A9" s="3" t="s">
        <v>30</v>
      </c>
      <c r="B9" s="9" t="s">
        <v>257</v>
      </c>
      <c r="C9" s="22">
        <v>397551474</v>
      </c>
      <c r="D9" s="22">
        <v>387215750</v>
      </c>
      <c r="E9" s="23">
        <f t="shared" si="0"/>
        <v>0.97400154526907878</v>
      </c>
      <c r="F9" s="22">
        <v>738266</v>
      </c>
      <c r="G9" s="22">
        <v>638920</v>
      </c>
      <c r="H9" s="23">
        <f t="shared" si="1"/>
        <v>0.86543332619949986</v>
      </c>
      <c r="I9" s="22">
        <v>246670953</v>
      </c>
      <c r="J9" s="22">
        <v>234640553</v>
      </c>
      <c r="K9" s="23">
        <f t="shared" si="2"/>
        <v>0.95122895560386467</v>
      </c>
      <c r="L9">
        <v>468465</v>
      </c>
      <c r="M9">
        <v>16776</v>
      </c>
      <c r="N9">
        <v>80117</v>
      </c>
      <c r="O9">
        <v>44101</v>
      </c>
      <c r="P9">
        <v>3818</v>
      </c>
      <c r="Q9" s="33">
        <f t="shared" si="3"/>
        <v>0.76387179039813979</v>
      </c>
    </row>
    <row r="10" spans="1:17" ht="15" x14ac:dyDescent="0.2">
      <c r="A10" s="3"/>
      <c r="B10" s="10"/>
    </row>
    <row r="11" spans="1:17" ht="15" x14ac:dyDescent="0.25">
      <c r="A11" s="5" t="s">
        <v>42</v>
      </c>
      <c r="B11" s="9" t="s">
        <v>266</v>
      </c>
      <c r="C11" s="22">
        <v>165153130</v>
      </c>
      <c r="D11" s="22">
        <v>163221310</v>
      </c>
      <c r="E11" s="23">
        <f>D11/C11</f>
        <v>0.98830285565886644</v>
      </c>
      <c r="F11" s="22">
        <v>482955</v>
      </c>
      <c r="G11" s="22">
        <v>404434</v>
      </c>
      <c r="H11" s="23">
        <f>G11/F11</f>
        <v>0.83741549419718198</v>
      </c>
      <c r="I11" s="22">
        <v>113877684</v>
      </c>
      <c r="J11" s="22">
        <v>108375057</v>
      </c>
      <c r="K11" s="23">
        <f>J11/I11</f>
        <v>0.95167949674845864</v>
      </c>
      <c r="L11">
        <v>263702</v>
      </c>
      <c r="M11">
        <v>17618</v>
      </c>
      <c r="N11">
        <v>89085</v>
      </c>
      <c r="O11">
        <v>38231</v>
      </c>
      <c r="P11">
        <v>1781</v>
      </c>
      <c r="Q11" s="33">
        <f>L11/(M11+N11+O11+L11+P11)</f>
        <v>0.64252211774853385</v>
      </c>
    </row>
    <row r="12" spans="1:17" ht="15" x14ac:dyDescent="0.25">
      <c r="A12" s="3" t="s">
        <v>30</v>
      </c>
      <c r="B12" s="9" t="s">
        <v>265</v>
      </c>
      <c r="C12" s="22">
        <v>137298139</v>
      </c>
      <c r="D12" s="22">
        <v>135743551</v>
      </c>
      <c r="E12" s="23">
        <f t="shared" ref="E12:E31" si="4">D12/C12</f>
        <v>0.98867728279987832</v>
      </c>
      <c r="F12" s="22">
        <v>388647</v>
      </c>
      <c r="G12" s="22">
        <v>318544</v>
      </c>
      <c r="H12" s="23">
        <f t="shared" ref="H12:H31" si="5">G12/F12</f>
        <v>0.8196229483310048</v>
      </c>
      <c r="I12" s="22">
        <v>90916229</v>
      </c>
      <c r="J12" s="22">
        <v>86520794</v>
      </c>
      <c r="K12" s="23">
        <f t="shared" ref="K12:K31" si="6">J12/I12</f>
        <v>0.95165401107870407</v>
      </c>
      <c r="L12">
        <v>230281</v>
      </c>
      <c r="M12">
        <v>9432</v>
      </c>
      <c r="N12">
        <v>61086</v>
      </c>
      <c r="O12">
        <v>20090</v>
      </c>
      <c r="P12">
        <v>1622</v>
      </c>
      <c r="Q12" s="33">
        <f t="shared" ref="Q12:Q30" si="7">L12/(M12+N12+O12+L12+P12)</f>
        <v>0.71402525805321371</v>
      </c>
    </row>
    <row r="13" spans="1:17" ht="15" x14ac:dyDescent="0.25">
      <c r="A13" s="3" t="s">
        <v>30</v>
      </c>
      <c r="B13" s="9" t="s">
        <v>264</v>
      </c>
      <c r="C13" s="22">
        <v>209052550</v>
      </c>
      <c r="D13" s="22">
        <v>201825929</v>
      </c>
      <c r="E13" s="23">
        <f t="shared" si="4"/>
        <v>0.96543155775904188</v>
      </c>
      <c r="F13" s="22">
        <v>337127</v>
      </c>
      <c r="G13" s="22">
        <v>274240</v>
      </c>
      <c r="H13" s="23">
        <f t="shared" si="5"/>
        <v>0.81346198910202983</v>
      </c>
      <c r="I13" s="22">
        <v>63814695</v>
      </c>
      <c r="J13" s="22">
        <v>60753093</v>
      </c>
      <c r="K13" s="23">
        <f t="shared" si="6"/>
        <v>0.952023558210221</v>
      </c>
      <c r="L13">
        <v>183981</v>
      </c>
      <c r="M13">
        <v>16215</v>
      </c>
      <c r="N13">
        <v>50804</v>
      </c>
      <c r="O13">
        <v>26008</v>
      </c>
      <c r="P13">
        <v>1237</v>
      </c>
      <c r="Q13" s="33">
        <f t="shared" si="7"/>
        <v>0.66121942892055563</v>
      </c>
    </row>
    <row r="14" spans="1:17" ht="15" x14ac:dyDescent="0.25">
      <c r="A14" s="3" t="s">
        <v>30</v>
      </c>
      <c r="B14" s="9" t="s">
        <v>263</v>
      </c>
      <c r="C14" s="22">
        <v>245282702</v>
      </c>
      <c r="D14" s="22">
        <v>237561391</v>
      </c>
      <c r="E14" s="23">
        <f t="shared" si="4"/>
        <v>0.96852076833367562</v>
      </c>
      <c r="F14" s="22">
        <v>390952</v>
      </c>
      <c r="G14" s="22">
        <v>315106</v>
      </c>
      <c r="H14" s="23">
        <f t="shared" si="5"/>
        <v>0.80599664408929994</v>
      </c>
      <c r="I14" s="22">
        <v>73821664</v>
      </c>
      <c r="J14" s="22">
        <v>70279162</v>
      </c>
      <c r="K14" s="23">
        <f t="shared" si="6"/>
        <v>0.95201270456325671</v>
      </c>
      <c r="L14">
        <v>218816</v>
      </c>
      <c r="M14">
        <v>17618</v>
      </c>
      <c r="N14">
        <v>54182</v>
      </c>
      <c r="O14">
        <v>26052</v>
      </c>
      <c r="P14">
        <v>1296</v>
      </c>
      <c r="Q14" s="33">
        <f t="shared" si="7"/>
        <v>0.68817853593488576</v>
      </c>
    </row>
    <row r="15" spans="1:17" ht="15" x14ac:dyDescent="0.25">
      <c r="A15" s="3" t="s">
        <v>30</v>
      </c>
      <c r="B15" s="9" t="s">
        <v>283</v>
      </c>
      <c r="C15" s="22">
        <v>242283019</v>
      </c>
      <c r="D15" s="22">
        <v>233007447</v>
      </c>
      <c r="E15" s="23">
        <f t="shared" si="4"/>
        <v>0.96171596326360786</v>
      </c>
      <c r="F15" s="22">
        <v>381198</v>
      </c>
      <c r="G15" s="22">
        <v>302472</v>
      </c>
      <c r="H15" s="23">
        <f t="shared" si="5"/>
        <v>0.79347740544284073</v>
      </c>
      <c r="I15" s="22">
        <v>68787946</v>
      </c>
      <c r="J15" s="22">
        <v>65490726</v>
      </c>
      <c r="K15" s="23">
        <f t="shared" si="6"/>
        <v>0.95206689265005817</v>
      </c>
      <c r="L15">
        <v>197629</v>
      </c>
      <c r="M15">
        <v>17029</v>
      </c>
      <c r="N15">
        <v>54791</v>
      </c>
      <c r="O15">
        <v>34712</v>
      </c>
      <c r="P15">
        <v>1217</v>
      </c>
      <c r="Q15" s="33">
        <f t="shared" si="7"/>
        <v>0.64716187806587244</v>
      </c>
    </row>
    <row r="16" spans="1:17" ht="15" x14ac:dyDescent="0.25">
      <c r="A16" s="3" t="s">
        <v>30</v>
      </c>
      <c r="B16" s="9" t="s">
        <v>282</v>
      </c>
      <c r="C16" s="22">
        <v>306430639</v>
      </c>
      <c r="D16" s="22">
        <v>299520008</v>
      </c>
      <c r="E16" s="23">
        <f t="shared" si="4"/>
        <v>0.9774479764081293</v>
      </c>
      <c r="F16" s="22">
        <v>547892</v>
      </c>
      <c r="G16" s="22">
        <v>459981</v>
      </c>
      <c r="H16" s="23">
        <f t="shared" si="5"/>
        <v>0.8395468449986494</v>
      </c>
      <c r="I16" s="22">
        <v>172841331</v>
      </c>
      <c r="J16" s="22">
        <v>164415995</v>
      </c>
      <c r="K16" s="23">
        <f t="shared" si="6"/>
        <v>0.95125392780040552</v>
      </c>
      <c r="L16">
        <v>358075</v>
      </c>
      <c r="M16">
        <v>24913</v>
      </c>
      <c r="N16">
        <v>59856</v>
      </c>
      <c r="O16">
        <v>19085</v>
      </c>
      <c r="P16">
        <v>3226</v>
      </c>
      <c r="Q16" s="33">
        <f t="shared" si="7"/>
        <v>0.76979716438606482</v>
      </c>
    </row>
    <row r="17" spans="1:17" ht="15" x14ac:dyDescent="0.25">
      <c r="A17" s="3" t="s">
        <v>30</v>
      </c>
      <c r="B17" s="9" t="s">
        <v>281</v>
      </c>
      <c r="C17" s="22">
        <v>325685718</v>
      </c>
      <c r="D17" s="22">
        <v>311931423</v>
      </c>
      <c r="E17" s="23">
        <f t="shared" si="4"/>
        <v>0.95776819725327966</v>
      </c>
      <c r="F17" s="22">
        <v>578150</v>
      </c>
      <c r="G17" s="22">
        <v>466528</v>
      </c>
      <c r="H17" s="23">
        <f t="shared" si="5"/>
        <v>0.80693245697483351</v>
      </c>
      <c r="I17" s="22">
        <v>140458840</v>
      </c>
      <c r="J17" s="22">
        <v>133656129</v>
      </c>
      <c r="K17" s="23">
        <f t="shared" si="6"/>
        <v>0.95156793976085807</v>
      </c>
      <c r="L17">
        <v>279547</v>
      </c>
      <c r="M17">
        <v>42898</v>
      </c>
      <c r="N17">
        <v>87988</v>
      </c>
      <c r="O17">
        <v>61630</v>
      </c>
      <c r="P17">
        <v>2017</v>
      </c>
      <c r="Q17" s="33">
        <f t="shared" si="7"/>
        <v>0.58966208234897066</v>
      </c>
    </row>
    <row r="18" spans="1:17" ht="15" x14ac:dyDescent="0.25">
      <c r="A18" s="3" t="s">
        <v>30</v>
      </c>
      <c r="B18" s="9" t="s">
        <v>280</v>
      </c>
      <c r="C18" s="22">
        <v>366738916</v>
      </c>
      <c r="D18" s="22">
        <v>352674030</v>
      </c>
      <c r="E18" s="23">
        <f t="shared" si="4"/>
        <v>0.96164877686446559</v>
      </c>
      <c r="F18" s="22">
        <v>659058</v>
      </c>
      <c r="G18" s="22">
        <v>534699</v>
      </c>
      <c r="H18" s="23">
        <f t="shared" si="5"/>
        <v>0.81130795772147524</v>
      </c>
      <c r="I18" s="22">
        <v>168303350</v>
      </c>
      <c r="J18" s="22">
        <v>160141020</v>
      </c>
      <c r="K18" s="23">
        <f t="shared" si="6"/>
        <v>0.95150227253349384</v>
      </c>
      <c r="L18">
        <v>375839</v>
      </c>
      <c r="M18">
        <v>30476</v>
      </c>
      <c r="N18">
        <v>85518</v>
      </c>
      <c r="O18">
        <v>47568</v>
      </c>
      <c r="P18">
        <v>2882</v>
      </c>
      <c r="Q18" s="33">
        <f t="shared" si="7"/>
        <v>0.69306801061438406</v>
      </c>
    </row>
    <row r="19" spans="1:17" ht="15" x14ac:dyDescent="0.25">
      <c r="A19" s="3" t="s">
        <v>30</v>
      </c>
      <c r="B19" s="9" t="s">
        <v>279</v>
      </c>
      <c r="C19" s="22">
        <v>384758209</v>
      </c>
      <c r="D19" s="22">
        <v>374401793</v>
      </c>
      <c r="E19" s="23">
        <f t="shared" si="4"/>
        <v>0.97308331373379486</v>
      </c>
      <c r="F19" s="22">
        <v>714305</v>
      </c>
      <c r="G19" s="22">
        <v>613502</v>
      </c>
      <c r="H19" s="23">
        <f t="shared" si="5"/>
        <v>0.85887961025052328</v>
      </c>
      <c r="I19" s="22">
        <v>229009738</v>
      </c>
      <c r="J19" s="22">
        <v>217850135</v>
      </c>
      <c r="K19" s="23">
        <f t="shared" si="6"/>
        <v>0.95127018135796482</v>
      </c>
      <c r="L19">
        <v>474728</v>
      </c>
      <c r="M19">
        <v>16995</v>
      </c>
      <c r="N19">
        <v>81127</v>
      </c>
      <c r="O19">
        <v>44646</v>
      </c>
      <c r="P19">
        <v>3866</v>
      </c>
      <c r="Q19" s="33">
        <f t="shared" si="7"/>
        <v>0.7640119608215501</v>
      </c>
    </row>
    <row r="20" spans="1:17" ht="15" x14ac:dyDescent="0.25">
      <c r="A20" s="3" t="s">
        <v>30</v>
      </c>
      <c r="B20" s="9" t="s">
        <v>278</v>
      </c>
      <c r="C20" s="22">
        <v>400613256</v>
      </c>
      <c r="D20" s="22">
        <v>390206863</v>
      </c>
      <c r="E20" s="23">
        <f t="shared" si="4"/>
        <v>0.97402384258597774</v>
      </c>
      <c r="F20" s="22">
        <v>743915</v>
      </c>
      <c r="G20" s="22">
        <v>643791</v>
      </c>
      <c r="H20" s="23">
        <f t="shared" si="5"/>
        <v>0.86540935456335732</v>
      </c>
      <c r="I20" s="22">
        <v>248455127</v>
      </c>
      <c r="J20" s="22">
        <v>236337847</v>
      </c>
      <c r="K20" s="23">
        <f t="shared" si="6"/>
        <v>0.95122950310459886</v>
      </c>
      <c r="L20">
        <v>489045</v>
      </c>
      <c r="M20">
        <v>32241</v>
      </c>
      <c r="N20">
        <v>85242</v>
      </c>
      <c r="O20">
        <v>41275</v>
      </c>
      <c r="P20">
        <v>4243</v>
      </c>
      <c r="Q20" s="33">
        <f t="shared" si="7"/>
        <v>0.75001610315836609</v>
      </c>
    </row>
    <row r="21" spans="1:17" ht="15" x14ac:dyDescent="0.25">
      <c r="A21" s="3" t="s">
        <v>30</v>
      </c>
      <c r="B21" s="9" t="s">
        <v>277</v>
      </c>
      <c r="C21" s="22">
        <v>116778097</v>
      </c>
      <c r="D21" s="22">
        <v>114014644</v>
      </c>
      <c r="E21" s="23">
        <f t="shared" si="4"/>
        <v>0.97633586202385192</v>
      </c>
      <c r="F21" s="22">
        <v>215865</v>
      </c>
      <c r="G21" s="22">
        <v>177642</v>
      </c>
      <c r="H21" s="23">
        <f t="shared" si="5"/>
        <v>0.82293099854075469</v>
      </c>
      <c r="I21" s="22">
        <v>55512412</v>
      </c>
      <c r="J21" s="22">
        <v>52820551</v>
      </c>
      <c r="K21" s="23">
        <f t="shared" si="6"/>
        <v>0.95150884454453177</v>
      </c>
      <c r="L21">
        <v>139408</v>
      </c>
      <c r="M21">
        <v>7339</v>
      </c>
      <c r="N21">
        <v>26238</v>
      </c>
      <c r="O21">
        <v>5511</v>
      </c>
      <c r="P21">
        <v>1036</v>
      </c>
      <c r="Q21" s="33">
        <f t="shared" si="7"/>
        <v>0.77650780919279017</v>
      </c>
    </row>
    <row r="22" spans="1:17" ht="15" x14ac:dyDescent="0.25">
      <c r="A22" s="3" t="s">
        <v>30</v>
      </c>
      <c r="B22" s="9" t="s">
        <v>276</v>
      </c>
      <c r="C22" s="22">
        <v>169745030</v>
      </c>
      <c r="D22" s="22">
        <v>165868563</v>
      </c>
      <c r="E22" s="23">
        <f t="shared" si="4"/>
        <v>0.97716300147344515</v>
      </c>
      <c r="F22" s="22">
        <v>303565</v>
      </c>
      <c r="G22" s="22">
        <v>252655</v>
      </c>
      <c r="H22" s="23">
        <f t="shared" si="5"/>
        <v>0.83229291914417014</v>
      </c>
      <c r="I22" s="22">
        <v>81728316</v>
      </c>
      <c r="J22" s="22">
        <v>77761133</v>
      </c>
      <c r="K22" s="23">
        <f t="shared" si="6"/>
        <v>0.95145889216657786</v>
      </c>
      <c r="L22">
        <v>208427</v>
      </c>
      <c r="M22">
        <v>8874</v>
      </c>
      <c r="N22">
        <v>32934</v>
      </c>
      <c r="O22">
        <v>3178</v>
      </c>
      <c r="P22">
        <v>1267</v>
      </c>
      <c r="Q22" s="33">
        <f t="shared" si="7"/>
        <v>0.81838778074446361</v>
      </c>
    </row>
    <row r="23" spans="1:17" ht="15" x14ac:dyDescent="0.25">
      <c r="A23" s="3" t="s">
        <v>30</v>
      </c>
      <c r="B23" s="9" t="s">
        <v>275</v>
      </c>
      <c r="C23" s="22">
        <v>691468038</v>
      </c>
      <c r="D23" s="22">
        <v>661572862</v>
      </c>
      <c r="E23" s="23">
        <f t="shared" si="4"/>
        <v>0.95676564301298916</v>
      </c>
      <c r="F23" s="22">
        <v>1225903</v>
      </c>
      <c r="G23" s="22">
        <v>1039099</v>
      </c>
      <c r="H23" s="23">
        <f t="shared" si="5"/>
        <v>0.84761926514577413</v>
      </c>
      <c r="I23" s="22">
        <v>326490717</v>
      </c>
      <c r="J23" s="22">
        <v>310657746</v>
      </c>
      <c r="K23" s="23">
        <f t="shared" si="6"/>
        <v>0.95150560130626927</v>
      </c>
      <c r="L23">
        <v>497608</v>
      </c>
      <c r="M23">
        <v>334159</v>
      </c>
      <c r="N23">
        <v>160190</v>
      </c>
      <c r="O23">
        <v>49911</v>
      </c>
      <c r="P23">
        <v>3370</v>
      </c>
      <c r="Q23" s="33">
        <f t="shared" si="7"/>
        <v>0.47607147845753789</v>
      </c>
    </row>
    <row r="24" spans="1:17" ht="15" x14ac:dyDescent="0.25">
      <c r="A24" s="3" t="s">
        <v>51</v>
      </c>
      <c r="B24" s="9" t="s">
        <v>274</v>
      </c>
      <c r="C24" s="22">
        <v>345546131</v>
      </c>
      <c r="D24" s="22">
        <v>338647017</v>
      </c>
      <c r="E24" s="23">
        <f t="shared" si="4"/>
        <v>0.98003417378734881</v>
      </c>
      <c r="F24" s="22">
        <v>611357</v>
      </c>
      <c r="G24" s="22">
        <v>520000</v>
      </c>
      <c r="H24" s="23">
        <f t="shared" si="5"/>
        <v>0.85056685373685093</v>
      </c>
      <c r="I24" s="22">
        <v>174150312</v>
      </c>
      <c r="J24" s="22">
        <v>165687998</v>
      </c>
      <c r="K24" s="23">
        <f t="shared" si="6"/>
        <v>0.95140798829002382</v>
      </c>
      <c r="L24">
        <v>351760</v>
      </c>
      <c r="M24">
        <v>70211</v>
      </c>
      <c r="N24">
        <v>74507</v>
      </c>
      <c r="O24">
        <v>26175</v>
      </c>
      <c r="P24">
        <v>2769</v>
      </c>
      <c r="Q24" s="33">
        <f t="shared" si="7"/>
        <v>0.66948091248558306</v>
      </c>
    </row>
    <row r="25" spans="1:17" ht="15" x14ac:dyDescent="0.25">
      <c r="A25" s="3" t="s">
        <v>30</v>
      </c>
      <c r="B25" s="9" t="s">
        <v>273</v>
      </c>
      <c r="C25" s="22">
        <v>341849962</v>
      </c>
      <c r="D25" s="22">
        <v>334364873</v>
      </c>
      <c r="E25" s="23">
        <f t="shared" si="4"/>
        <v>0.97810416898627595</v>
      </c>
      <c r="F25" s="22">
        <v>605500</v>
      </c>
      <c r="G25" s="22">
        <v>505358</v>
      </c>
      <c r="H25" s="23">
        <f t="shared" si="5"/>
        <v>0.83461271676300575</v>
      </c>
      <c r="I25" s="22">
        <v>165083955</v>
      </c>
      <c r="J25" s="22">
        <v>157067999</v>
      </c>
      <c r="K25" s="23">
        <f t="shared" si="6"/>
        <v>0.95144315509039024</v>
      </c>
      <c r="L25">
        <v>355592</v>
      </c>
      <c r="M25">
        <v>53849</v>
      </c>
      <c r="N25">
        <v>72875</v>
      </c>
      <c r="O25">
        <v>25662</v>
      </c>
      <c r="P25">
        <v>2848</v>
      </c>
      <c r="Q25" s="33">
        <f t="shared" si="7"/>
        <v>0.69611178757541703</v>
      </c>
    </row>
    <row r="26" spans="1:17" ht="15" x14ac:dyDescent="0.25">
      <c r="A26" s="3" t="s">
        <v>30</v>
      </c>
      <c r="B26" s="9" t="s">
        <v>272</v>
      </c>
      <c r="C26" s="22">
        <v>342338019</v>
      </c>
      <c r="D26" s="22">
        <v>326538244</v>
      </c>
      <c r="E26" s="23">
        <f t="shared" si="4"/>
        <v>0.95384744281060996</v>
      </c>
      <c r="F26" s="22">
        <v>605698</v>
      </c>
      <c r="G26" s="22">
        <v>484062</v>
      </c>
      <c r="H26" s="23">
        <f t="shared" si="5"/>
        <v>0.79918044966303337</v>
      </c>
      <c r="I26" s="22">
        <v>159888763</v>
      </c>
      <c r="J26" s="22">
        <v>152123005</v>
      </c>
      <c r="K26" s="23">
        <f t="shared" si="6"/>
        <v>0.95143024528871989</v>
      </c>
      <c r="L26">
        <v>323834</v>
      </c>
      <c r="M26">
        <v>23114</v>
      </c>
      <c r="N26">
        <v>92667</v>
      </c>
      <c r="O26">
        <v>46669</v>
      </c>
      <c r="P26">
        <v>2082</v>
      </c>
      <c r="Q26" s="33">
        <f t="shared" si="7"/>
        <v>0.66309693959038918</v>
      </c>
    </row>
    <row r="27" spans="1:17" ht="15" x14ac:dyDescent="0.25">
      <c r="A27" s="3" t="s">
        <v>30</v>
      </c>
      <c r="B27" s="9" t="s">
        <v>271</v>
      </c>
      <c r="C27" s="22">
        <v>326962890</v>
      </c>
      <c r="D27" s="22">
        <v>312226241</v>
      </c>
      <c r="E27" s="23">
        <f t="shared" si="4"/>
        <v>0.95492868013247623</v>
      </c>
      <c r="F27" s="22">
        <v>583391</v>
      </c>
      <c r="G27" s="22">
        <v>476147</v>
      </c>
      <c r="H27" s="23">
        <f t="shared" si="5"/>
        <v>0.81617131563565426</v>
      </c>
      <c r="I27" s="22">
        <v>162222230</v>
      </c>
      <c r="J27" s="22">
        <v>154335833</v>
      </c>
      <c r="K27" s="23">
        <f t="shared" si="6"/>
        <v>0.95138522630344802</v>
      </c>
      <c r="L27">
        <v>305192</v>
      </c>
      <c r="M27">
        <v>24538</v>
      </c>
      <c r="N27">
        <v>81692</v>
      </c>
      <c r="O27">
        <v>66463</v>
      </c>
      <c r="P27">
        <v>2313</v>
      </c>
      <c r="Q27" s="33">
        <f t="shared" si="7"/>
        <v>0.63555450043523709</v>
      </c>
    </row>
    <row r="28" spans="1:17" ht="15" x14ac:dyDescent="0.25">
      <c r="A28" s="3" t="s">
        <v>30</v>
      </c>
      <c r="B28" s="9" t="s">
        <v>270</v>
      </c>
      <c r="C28" s="22">
        <v>710121089</v>
      </c>
      <c r="D28" s="22">
        <v>681788763</v>
      </c>
      <c r="E28" s="23">
        <f t="shared" si="4"/>
        <v>0.96010211999210182</v>
      </c>
      <c r="F28" s="22">
        <v>1273360</v>
      </c>
      <c r="G28" s="22">
        <v>1105101</v>
      </c>
      <c r="H28" s="23">
        <f t="shared" si="5"/>
        <v>0.86786219136772003</v>
      </c>
      <c r="I28" s="22">
        <v>353436215</v>
      </c>
      <c r="J28" s="22">
        <v>336286335</v>
      </c>
      <c r="K28" s="23">
        <f t="shared" si="6"/>
        <v>0.95147673251310705</v>
      </c>
      <c r="L28">
        <v>736432</v>
      </c>
      <c r="M28">
        <v>144165</v>
      </c>
      <c r="N28">
        <v>169257</v>
      </c>
      <c r="O28">
        <v>60275</v>
      </c>
      <c r="P28">
        <v>5323</v>
      </c>
      <c r="Q28" s="33">
        <f t="shared" si="7"/>
        <v>0.66020949355059655</v>
      </c>
    </row>
    <row r="29" spans="1:17" ht="15" x14ac:dyDescent="0.25">
      <c r="A29" s="3" t="s">
        <v>30</v>
      </c>
      <c r="B29" s="9" t="s">
        <v>269</v>
      </c>
      <c r="C29" s="22">
        <v>663990252</v>
      </c>
      <c r="D29" s="22">
        <v>635480292</v>
      </c>
      <c r="E29" s="23">
        <f t="shared" si="4"/>
        <v>0.95706268290215801</v>
      </c>
      <c r="F29" s="22">
        <v>1183763</v>
      </c>
      <c r="G29" s="22">
        <v>933086</v>
      </c>
      <c r="H29" s="23">
        <f t="shared" si="5"/>
        <v>0.78823717247455782</v>
      </c>
      <c r="I29" s="22">
        <v>328819221</v>
      </c>
      <c r="J29" s="22">
        <v>312821037</v>
      </c>
      <c r="K29" s="23">
        <f t="shared" si="6"/>
        <v>0.95134656681155505</v>
      </c>
      <c r="L29">
        <v>630151</v>
      </c>
      <c r="M29">
        <v>92901</v>
      </c>
      <c r="N29">
        <v>179586</v>
      </c>
      <c r="O29">
        <v>53409</v>
      </c>
      <c r="P29">
        <v>5167</v>
      </c>
      <c r="Q29" s="33">
        <f t="shared" si="7"/>
        <v>0.65557825832749006</v>
      </c>
    </row>
    <row r="30" spans="1:17" ht="15" x14ac:dyDescent="0.25">
      <c r="A30" s="3" t="s">
        <v>51</v>
      </c>
      <c r="B30" s="9" t="s">
        <v>268</v>
      </c>
      <c r="C30" s="22">
        <v>360251924</v>
      </c>
      <c r="D30" s="22">
        <v>348411134</v>
      </c>
      <c r="E30" s="23">
        <f t="shared" si="4"/>
        <v>0.96713191738567927</v>
      </c>
      <c r="F30" s="22">
        <v>637241</v>
      </c>
      <c r="G30" s="22">
        <v>513369</v>
      </c>
      <c r="H30" s="23">
        <f t="shared" si="5"/>
        <v>0.80561200550498158</v>
      </c>
      <c r="I30" s="22">
        <v>187009213</v>
      </c>
      <c r="J30" s="22">
        <v>177901002</v>
      </c>
      <c r="K30" s="23">
        <f t="shared" si="6"/>
        <v>0.95129538885338227</v>
      </c>
      <c r="L30">
        <v>398771</v>
      </c>
      <c r="M30">
        <v>31560</v>
      </c>
      <c r="N30">
        <v>67817</v>
      </c>
      <c r="O30">
        <v>16704</v>
      </c>
      <c r="P30">
        <v>3297</v>
      </c>
      <c r="Q30" s="33">
        <f t="shared" si="7"/>
        <v>0.76960681194019476</v>
      </c>
    </row>
    <row r="31" spans="1:17" ht="15" x14ac:dyDescent="0.25">
      <c r="A31" s="3" t="s">
        <v>30</v>
      </c>
      <c r="B31" s="9" t="s">
        <v>267</v>
      </c>
      <c r="C31" s="22">
        <v>270591317</v>
      </c>
      <c r="D31" s="22">
        <v>259615071</v>
      </c>
      <c r="E31" s="23">
        <f t="shared" si="4"/>
        <v>0.95943607458771485</v>
      </c>
      <c r="F31" s="22">
        <v>470191</v>
      </c>
      <c r="G31" s="22">
        <v>364086</v>
      </c>
      <c r="H31" s="23">
        <f t="shared" si="5"/>
        <v>0.77433638670242522</v>
      </c>
      <c r="I31" s="22">
        <v>132913048</v>
      </c>
      <c r="J31" s="22">
        <v>126439690</v>
      </c>
      <c r="K31" s="23">
        <f t="shared" si="6"/>
        <v>0.95129629410048588</v>
      </c>
      <c r="L31">
        <v>249472</v>
      </c>
      <c r="M31">
        <v>47305</v>
      </c>
      <c r="N31">
        <v>52776</v>
      </c>
      <c r="O31">
        <v>16745</v>
      </c>
      <c r="P31">
        <v>1926</v>
      </c>
      <c r="Q31" s="33">
        <f>L31/(M31+N31+O31+L31+P31)</f>
        <v>0.67750065177717911</v>
      </c>
    </row>
    <row r="32" spans="1:17" ht="15" x14ac:dyDescent="0.2">
      <c r="A32" s="3"/>
      <c r="B32" s="10"/>
    </row>
    <row r="33" spans="1:17" ht="15" x14ac:dyDescent="0.25">
      <c r="A33" s="5" t="s">
        <v>131</v>
      </c>
      <c r="B33" s="13" t="s">
        <v>284</v>
      </c>
      <c r="C33" s="26"/>
      <c r="D33" s="26"/>
      <c r="E33" s="27"/>
      <c r="F33" s="26"/>
      <c r="G33" s="26"/>
      <c r="H33" s="27"/>
      <c r="I33" s="26"/>
      <c r="J33" s="26"/>
      <c r="K33" s="27"/>
      <c r="L33">
        <v>566987465</v>
      </c>
      <c r="M33">
        <v>48811699</v>
      </c>
      <c r="N33">
        <v>176262479</v>
      </c>
      <c r="O33">
        <v>28947762</v>
      </c>
      <c r="P33">
        <v>3566687</v>
      </c>
      <c r="Q33" s="33">
        <f>L33/(M33+N33+O33+L33+P33)</f>
        <v>0.68761084695625641</v>
      </c>
    </row>
    <row r="34" spans="1:17" ht="15" x14ac:dyDescent="0.25">
      <c r="A34" s="3" t="s">
        <v>30</v>
      </c>
      <c r="B34" s="14" t="s">
        <v>285</v>
      </c>
      <c r="C34" s="26"/>
      <c r="D34" s="26"/>
      <c r="E34" s="27"/>
      <c r="F34" s="26"/>
      <c r="G34" s="26"/>
      <c r="H34" s="27"/>
      <c r="I34" s="26"/>
      <c r="J34" s="26"/>
      <c r="K34" s="27"/>
      <c r="L34">
        <v>581836684</v>
      </c>
      <c r="M34">
        <v>32976122</v>
      </c>
      <c r="N34">
        <v>171283148</v>
      </c>
      <c r="O34">
        <v>34425539</v>
      </c>
      <c r="P34">
        <v>3558013</v>
      </c>
      <c r="Q34" s="33">
        <f t="shared" ref="Q34:Q37" si="8">L34/(M34+N34+O34+L34+P34)</f>
        <v>0.70604435587068226</v>
      </c>
    </row>
    <row r="35" spans="1:17" ht="15" x14ac:dyDescent="0.25">
      <c r="A35" s="3" t="s">
        <v>30</v>
      </c>
      <c r="B35" s="14" t="s">
        <v>286</v>
      </c>
      <c r="C35" s="26"/>
      <c r="D35" s="26" t="s">
        <v>347</v>
      </c>
      <c r="E35" s="27"/>
      <c r="F35" s="26"/>
      <c r="G35" s="26" t="s">
        <v>347</v>
      </c>
      <c r="H35" s="27"/>
      <c r="I35" s="26"/>
      <c r="J35" s="26" t="s">
        <v>347</v>
      </c>
      <c r="K35" s="27"/>
      <c r="L35">
        <v>483840489</v>
      </c>
      <c r="M35">
        <v>29256538</v>
      </c>
      <c r="N35">
        <v>149290849</v>
      </c>
      <c r="O35">
        <v>23277012</v>
      </c>
      <c r="P35">
        <v>3195000</v>
      </c>
      <c r="Q35" s="33">
        <f t="shared" si="8"/>
        <v>0.702378665717868</v>
      </c>
    </row>
    <row r="36" spans="1:17" ht="15" x14ac:dyDescent="0.25">
      <c r="A36" s="3" t="s">
        <v>30</v>
      </c>
      <c r="B36" s="14" t="s">
        <v>287</v>
      </c>
      <c r="C36" s="26"/>
      <c r="D36" s="26"/>
      <c r="E36" s="27"/>
      <c r="F36" s="26"/>
      <c r="G36" s="26"/>
      <c r="H36" s="27"/>
      <c r="I36" s="26"/>
      <c r="J36" s="26"/>
      <c r="K36" s="27"/>
      <c r="L36">
        <v>491982390</v>
      </c>
      <c r="M36">
        <v>31338938</v>
      </c>
      <c r="N36">
        <v>152076665</v>
      </c>
      <c r="O36">
        <v>34616948</v>
      </c>
      <c r="P36">
        <v>2766081</v>
      </c>
      <c r="Q36" s="33">
        <f t="shared" si="8"/>
        <v>0.69022936191474527</v>
      </c>
    </row>
    <row r="37" spans="1:17" ht="15" x14ac:dyDescent="0.25">
      <c r="A37" s="3" t="s">
        <v>30</v>
      </c>
      <c r="B37" s="14" t="s">
        <v>288</v>
      </c>
      <c r="C37" s="26"/>
      <c r="D37" s="26"/>
      <c r="E37" s="27"/>
      <c r="F37" s="26"/>
      <c r="G37" s="26"/>
      <c r="H37" s="27"/>
      <c r="I37" s="26"/>
      <c r="J37" s="26"/>
      <c r="K37" s="27"/>
      <c r="L37">
        <v>286065283</v>
      </c>
      <c r="M37">
        <v>23302468</v>
      </c>
      <c r="N37">
        <v>135445298</v>
      </c>
      <c r="O37">
        <v>27043574</v>
      </c>
      <c r="P37">
        <v>5517200</v>
      </c>
      <c r="Q37" s="33">
        <f t="shared" si="8"/>
        <v>0.59924794619498856</v>
      </c>
    </row>
    <row r="38" spans="1:17" ht="15" x14ac:dyDescent="0.2">
      <c r="A38" s="3"/>
      <c r="B38" s="10"/>
    </row>
    <row r="39" spans="1:17" ht="15" x14ac:dyDescent="0.25">
      <c r="A39" s="5" t="s">
        <v>141</v>
      </c>
      <c r="B39" s="12" t="s">
        <v>289</v>
      </c>
      <c r="C39" s="28" t="s">
        <v>334</v>
      </c>
      <c r="D39" s="28" t="s">
        <v>334</v>
      </c>
      <c r="E39" s="23">
        <v>1</v>
      </c>
      <c r="F39" s="22">
        <v>353062</v>
      </c>
      <c r="G39" s="22">
        <v>307521</v>
      </c>
      <c r="H39" s="23">
        <f>G39/F39</f>
        <v>0.87101132379015589</v>
      </c>
      <c r="I39" s="22">
        <v>95174643</v>
      </c>
      <c r="J39" s="22">
        <v>90560945</v>
      </c>
      <c r="K39" s="23">
        <f>J39/I39</f>
        <v>0.95152387385366921</v>
      </c>
      <c r="L39">
        <v>250068</v>
      </c>
      <c r="M39">
        <v>4474</v>
      </c>
      <c r="N39">
        <v>50295</v>
      </c>
      <c r="O39">
        <v>5956</v>
      </c>
      <c r="P39">
        <v>1565</v>
      </c>
      <c r="Q39" s="33">
        <f>L39/(M39+N39+O39+L39+P39)</f>
        <v>0.8005813841809718</v>
      </c>
    </row>
    <row r="40" spans="1:17" ht="15" x14ac:dyDescent="0.2">
      <c r="A40" s="3"/>
      <c r="B40" s="10"/>
    </row>
    <row r="41" spans="1:17" ht="15" x14ac:dyDescent="0.25">
      <c r="A41" s="5" t="s">
        <v>147</v>
      </c>
      <c r="B41" s="10" t="s">
        <v>290</v>
      </c>
      <c r="C41" s="22">
        <v>244427471</v>
      </c>
      <c r="D41" s="22">
        <v>234427121</v>
      </c>
      <c r="E41" s="23">
        <f>D41/C41</f>
        <v>0.95908663637893632</v>
      </c>
      <c r="F41" s="22">
        <v>427009</v>
      </c>
      <c r="G41" s="22">
        <v>327255</v>
      </c>
      <c r="H41" s="23">
        <f>G41/F41</f>
        <v>0.76638899882672262</v>
      </c>
      <c r="I41" s="22">
        <v>116843734</v>
      </c>
      <c r="J41" s="22">
        <v>111155908</v>
      </c>
      <c r="K41" s="23">
        <f>J41/I41</f>
        <v>0.9513210866746179</v>
      </c>
      <c r="L41">
        <v>290074</v>
      </c>
      <c r="M41">
        <v>11349</v>
      </c>
      <c r="N41">
        <v>73362</v>
      </c>
      <c r="O41">
        <v>12729</v>
      </c>
      <c r="P41">
        <v>1794</v>
      </c>
      <c r="Q41" s="33">
        <f>L41/(M41+N41+O41+L41+P41)</f>
        <v>0.74510156482784839</v>
      </c>
    </row>
    <row r="42" spans="1:17" ht="15" x14ac:dyDescent="0.25">
      <c r="A42" s="3" t="s">
        <v>30</v>
      </c>
      <c r="B42" s="10" t="s">
        <v>291</v>
      </c>
      <c r="C42" s="22">
        <v>325326847</v>
      </c>
      <c r="D42" s="22">
        <v>312324951</v>
      </c>
      <c r="E42" s="23">
        <f>D42/C42</f>
        <v>0.96003435892273592</v>
      </c>
      <c r="F42" s="22">
        <v>566726</v>
      </c>
      <c r="G42" s="22">
        <v>427824</v>
      </c>
      <c r="H42" s="23">
        <f>G42/F42</f>
        <v>0.7549044864714165</v>
      </c>
      <c r="I42" s="22">
        <v>153664879</v>
      </c>
      <c r="J42" s="22">
        <v>146183325</v>
      </c>
      <c r="K42" s="23">
        <f>J42/I42</f>
        <v>0.9513125312128089</v>
      </c>
      <c r="L42">
        <v>319839</v>
      </c>
      <c r="M42">
        <v>10744</v>
      </c>
      <c r="N42">
        <v>84955</v>
      </c>
      <c r="O42">
        <v>13416</v>
      </c>
      <c r="P42">
        <v>2038</v>
      </c>
      <c r="Q42" s="33">
        <f>L42/(M42+N42+O42+L42+P42)</f>
        <v>0.74209962133867913</v>
      </c>
    </row>
    <row r="43" spans="1:17" ht="15" x14ac:dyDescent="0.2">
      <c r="A43" s="3"/>
      <c r="B43" s="10"/>
    </row>
    <row r="44" spans="1:17" ht="15" x14ac:dyDescent="0.25">
      <c r="A44" s="6" t="s">
        <v>155</v>
      </c>
      <c r="B44" s="14" t="s">
        <v>295</v>
      </c>
      <c r="C44" s="26"/>
      <c r="D44" s="26"/>
      <c r="E44" s="27"/>
      <c r="F44" s="26"/>
      <c r="G44" s="26"/>
      <c r="H44" s="27"/>
      <c r="I44" s="26"/>
      <c r="J44" s="26"/>
      <c r="K44" s="27"/>
      <c r="L44">
        <v>60629265</v>
      </c>
      <c r="M44">
        <v>2505012</v>
      </c>
      <c r="N44">
        <v>18983780</v>
      </c>
      <c r="O44">
        <v>2537062</v>
      </c>
      <c r="P44">
        <v>302042</v>
      </c>
      <c r="Q44" s="33">
        <f>L44/(M44+N44+O44+L44+P44)</f>
        <v>0.71364513934263885</v>
      </c>
    </row>
    <row r="45" spans="1:17" ht="15" x14ac:dyDescent="0.25">
      <c r="A45" s="3" t="s">
        <v>30</v>
      </c>
      <c r="B45" s="14" t="s">
        <v>294</v>
      </c>
      <c r="C45" s="26"/>
      <c r="D45" s="26"/>
      <c r="E45" s="27"/>
      <c r="F45" s="26"/>
      <c r="G45" s="26"/>
      <c r="H45" s="27"/>
      <c r="I45" s="26"/>
      <c r="J45" s="26"/>
      <c r="K45" s="27"/>
      <c r="L45">
        <v>56481535</v>
      </c>
      <c r="M45">
        <v>3369907</v>
      </c>
      <c r="N45">
        <v>24071736</v>
      </c>
      <c r="O45">
        <v>3941532</v>
      </c>
      <c r="P45">
        <v>361183</v>
      </c>
      <c r="Q45" s="33">
        <f t="shared" ref="Q45:Q47" si="9">L45/(M45+N45+O45+L45+P45)</f>
        <v>0.64019227325927996</v>
      </c>
    </row>
    <row r="46" spans="1:17" ht="15" x14ac:dyDescent="0.25">
      <c r="A46" s="3" t="s">
        <v>30</v>
      </c>
      <c r="B46" s="14" t="s">
        <v>293</v>
      </c>
      <c r="C46" s="26"/>
      <c r="D46" s="26" t="s">
        <v>347</v>
      </c>
      <c r="E46" s="27"/>
      <c r="F46" s="26"/>
      <c r="G46" s="26" t="s">
        <v>347</v>
      </c>
      <c r="H46" s="27"/>
      <c r="I46" s="26"/>
      <c r="J46" s="26" t="s">
        <v>347</v>
      </c>
      <c r="K46" s="27"/>
      <c r="L46">
        <v>69909864</v>
      </c>
      <c r="M46">
        <v>3381242</v>
      </c>
      <c r="N46">
        <v>24045761</v>
      </c>
      <c r="O46">
        <v>3363105</v>
      </c>
      <c r="P46">
        <v>493988</v>
      </c>
      <c r="Q46" s="33">
        <f t="shared" si="9"/>
        <v>0.69085016536560084</v>
      </c>
    </row>
    <row r="47" spans="1:17" ht="18" customHeight="1" x14ac:dyDescent="0.25">
      <c r="A47"/>
      <c r="B47" s="14" t="s">
        <v>292</v>
      </c>
      <c r="C47" s="26"/>
      <c r="D47" s="26"/>
      <c r="E47" s="27"/>
      <c r="F47" s="26"/>
      <c r="G47" s="26"/>
      <c r="H47" s="27"/>
      <c r="I47" s="26"/>
      <c r="J47" s="26"/>
      <c r="K47" s="27"/>
      <c r="L47">
        <v>70841789</v>
      </c>
      <c r="M47">
        <v>3232360</v>
      </c>
      <c r="N47">
        <v>21882383</v>
      </c>
      <c r="O47">
        <v>2882182</v>
      </c>
      <c r="P47">
        <v>471915</v>
      </c>
      <c r="Q47" s="33">
        <f t="shared" si="9"/>
        <v>0.71333541750098073</v>
      </c>
    </row>
    <row r="48" spans="1:17" ht="15" x14ac:dyDescent="0.2">
      <c r="A48" s="3"/>
      <c r="B48" s="10"/>
    </row>
    <row r="49" spans="1:17" ht="15" x14ac:dyDescent="0.25">
      <c r="A49" s="5" t="s">
        <v>177</v>
      </c>
      <c r="B49" s="10" t="s">
        <v>296</v>
      </c>
      <c r="C49" s="22">
        <v>230993186</v>
      </c>
      <c r="D49" s="63">
        <v>220984495</v>
      </c>
      <c r="E49" s="23">
        <f>D49/C49</f>
        <v>0.95667105522324802</v>
      </c>
      <c r="F49" s="22">
        <v>442656</v>
      </c>
      <c r="G49" s="22">
        <v>196886</v>
      </c>
      <c r="H49" s="23">
        <f>G49/F49</f>
        <v>0.44478330803151883</v>
      </c>
      <c r="I49" s="22">
        <v>64360134</v>
      </c>
      <c r="J49" s="22">
        <v>61234076</v>
      </c>
      <c r="K49" s="23">
        <f>J49/I49</f>
        <v>0.95142865923803077</v>
      </c>
      <c r="L49">
        <v>109481</v>
      </c>
      <c r="M49">
        <v>44238</v>
      </c>
      <c r="N49">
        <v>27156</v>
      </c>
      <c r="O49">
        <v>17304</v>
      </c>
      <c r="P49">
        <v>955</v>
      </c>
      <c r="Q49" s="33">
        <f>L49/(M49+N49+O49+L49+P49)</f>
        <v>0.54978557152470198</v>
      </c>
    </row>
    <row r="50" spans="1:17" ht="15" x14ac:dyDescent="0.25">
      <c r="A50" s="3" t="s">
        <v>30</v>
      </c>
      <c r="B50" s="10" t="s">
        <v>297</v>
      </c>
      <c r="C50" s="22">
        <v>298724291</v>
      </c>
      <c r="D50" s="22">
        <v>287888295</v>
      </c>
      <c r="E50" s="23">
        <f>D50/C50</f>
        <v>0.96372576209411775</v>
      </c>
      <c r="F50" s="22">
        <v>556465</v>
      </c>
      <c r="G50" s="22">
        <v>381597</v>
      </c>
      <c r="H50" s="23">
        <f>G50/F50</f>
        <v>0.68575202393681545</v>
      </c>
      <c r="I50" s="22">
        <v>140775284</v>
      </c>
      <c r="J50" s="22">
        <v>133915788</v>
      </c>
      <c r="K50" s="23">
        <f>J50/I50</f>
        <v>0.9512734351862504</v>
      </c>
      <c r="L50">
        <v>250455</v>
      </c>
      <c r="M50">
        <v>27625</v>
      </c>
      <c r="N50">
        <v>63700</v>
      </c>
      <c r="O50">
        <v>43842</v>
      </c>
      <c r="P50">
        <v>1800</v>
      </c>
      <c r="Q50" s="33">
        <f>L50/(M50+N50+O50+L50+P50)</f>
        <v>0.64646561114237189</v>
      </c>
    </row>
    <row r="51" spans="1:17" ht="15" x14ac:dyDescent="0.2">
      <c r="A51" s="3"/>
      <c r="B51" s="10"/>
    </row>
    <row r="52" spans="1:17" ht="15" x14ac:dyDescent="0.25">
      <c r="A52" s="5" t="s">
        <v>186</v>
      </c>
      <c r="B52" s="10" t="s">
        <v>298</v>
      </c>
      <c r="C52" s="22">
        <v>316892967</v>
      </c>
      <c r="D52" s="22">
        <v>307601562</v>
      </c>
      <c r="E52" s="23">
        <f>D52/C52</f>
        <v>0.97067967431413527</v>
      </c>
      <c r="F52" s="22">
        <v>620463</v>
      </c>
      <c r="G52" s="22">
        <v>590002</v>
      </c>
      <c r="H52" s="23">
        <f>G52/F52</f>
        <v>0.95090601695830368</v>
      </c>
      <c r="I52" s="22">
        <v>228042068</v>
      </c>
      <c r="J52" s="22">
        <v>216918974</v>
      </c>
      <c r="K52" s="23">
        <f>J52/I52</f>
        <v>0.95122349969217079</v>
      </c>
      <c r="L52">
        <v>463474</v>
      </c>
      <c r="M52">
        <v>24561</v>
      </c>
      <c r="N52">
        <v>75787</v>
      </c>
      <c r="O52">
        <v>30251</v>
      </c>
      <c r="P52">
        <v>3518</v>
      </c>
      <c r="Q52" s="33">
        <f>L52/(M52+N52+O52+L52+P52)</f>
        <v>0.7755705825556275</v>
      </c>
    </row>
    <row r="53" spans="1:17" ht="15" x14ac:dyDescent="0.25">
      <c r="A53" s="3" t="s">
        <v>30</v>
      </c>
      <c r="B53" s="10" t="s">
        <v>299</v>
      </c>
      <c r="C53" s="22">
        <v>255951939</v>
      </c>
      <c r="D53" s="22">
        <v>248460033</v>
      </c>
      <c r="E53" s="23">
        <f t="shared" ref="E53:E54" si="10">D53/C53</f>
        <v>0.97072924694663087</v>
      </c>
      <c r="F53" s="22">
        <v>501296</v>
      </c>
      <c r="G53" s="22">
        <v>471588</v>
      </c>
      <c r="H53" s="23">
        <f t="shared" ref="H53:H54" si="11">G53/F53</f>
        <v>0.9407376081197536</v>
      </c>
      <c r="I53" s="22">
        <v>183391082</v>
      </c>
      <c r="J53" s="22">
        <v>174444490</v>
      </c>
      <c r="K53" s="23">
        <f t="shared" ref="K53:K54" si="12">J53/I53</f>
        <v>0.95121577394913892</v>
      </c>
      <c r="L53">
        <v>355331</v>
      </c>
      <c r="M53">
        <v>28278</v>
      </c>
      <c r="N53">
        <v>60839</v>
      </c>
      <c r="O53">
        <v>29993</v>
      </c>
      <c r="P53">
        <v>2841</v>
      </c>
      <c r="Q53" s="33">
        <f t="shared" ref="Q53:Q54" si="13">L53/(M53+N53+O53+L53+P53)</f>
        <v>0.74448858326942979</v>
      </c>
    </row>
    <row r="54" spans="1:17" ht="15" x14ac:dyDescent="0.25">
      <c r="A54" s="3" t="s">
        <v>30</v>
      </c>
      <c r="B54" s="10" t="s">
        <v>300</v>
      </c>
      <c r="C54" s="22">
        <v>348454577</v>
      </c>
      <c r="D54" s="22">
        <v>338170635</v>
      </c>
      <c r="E54" s="23">
        <f t="shared" si="10"/>
        <v>0.97048699406235661</v>
      </c>
      <c r="F54" s="22">
        <v>686731</v>
      </c>
      <c r="G54" s="22">
        <v>650216</v>
      </c>
      <c r="H54" s="23">
        <f t="shared" si="11"/>
        <v>0.94682779720152432</v>
      </c>
      <c r="I54" s="22">
        <v>242707034</v>
      </c>
      <c r="J54" s="22">
        <v>230879566</v>
      </c>
      <c r="K54" s="23">
        <f t="shared" si="12"/>
        <v>0.95126854049067244</v>
      </c>
      <c r="L54">
        <v>512127</v>
      </c>
      <c r="M54">
        <v>21630</v>
      </c>
      <c r="N54">
        <v>91121</v>
      </c>
      <c r="O54">
        <v>31871</v>
      </c>
      <c r="P54">
        <v>4092</v>
      </c>
      <c r="Q54" s="33">
        <f t="shared" si="13"/>
        <v>0.77496250989269733</v>
      </c>
    </row>
    <row r="55" spans="1:17" ht="15" x14ac:dyDescent="0.2">
      <c r="A55" s="3"/>
      <c r="B55" s="10"/>
    </row>
    <row r="56" spans="1:17" ht="15" x14ac:dyDescent="0.25">
      <c r="A56" s="5" t="s">
        <v>200</v>
      </c>
      <c r="B56" s="10" t="s">
        <v>301</v>
      </c>
      <c r="C56" s="22">
        <v>347146501</v>
      </c>
      <c r="D56" s="22">
        <v>341696395</v>
      </c>
      <c r="E56" s="23">
        <f>D56/C56</f>
        <v>0.98430027096830797</v>
      </c>
      <c r="F56" s="22">
        <v>606271</v>
      </c>
      <c r="G56" s="22">
        <v>500340</v>
      </c>
      <c r="H56" s="23">
        <f>G56/F56</f>
        <v>0.82527450595525764</v>
      </c>
      <c r="I56" s="22">
        <v>145187378</v>
      </c>
      <c r="J56" s="22">
        <v>138165423</v>
      </c>
      <c r="K56" s="23">
        <f>J56/I56</f>
        <v>0.95163522410329637</v>
      </c>
      <c r="L56">
        <v>393710</v>
      </c>
      <c r="M56">
        <v>9468</v>
      </c>
      <c r="N56">
        <v>79944</v>
      </c>
      <c r="O56">
        <v>17116</v>
      </c>
      <c r="P56">
        <v>2691</v>
      </c>
      <c r="Q56" s="33">
        <f>L56/(M56+N56+O56+L56+P56)</f>
        <v>0.78283415750533381</v>
      </c>
    </row>
    <row r="57" spans="1:17" ht="15" x14ac:dyDescent="0.25">
      <c r="A57" s="3" t="s">
        <v>30</v>
      </c>
      <c r="B57" s="10" t="s">
        <v>302</v>
      </c>
      <c r="C57" s="22">
        <v>425318829</v>
      </c>
      <c r="D57" s="22">
        <v>420204997</v>
      </c>
      <c r="E57" s="23">
        <f>D57/C57</f>
        <v>0.98797647399711053</v>
      </c>
      <c r="F57" s="22">
        <v>731216</v>
      </c>
      <c r="G57" s="22">
        <v>628655</v>
      </c>
      <c r="H57" s="23">
        <f>G57/F57</f>
        <v>0.85973911949410298</v>
      </c>
      <c r="I57" s="22">
        <v>175835504</v>
      </c>
      <c r="J57" s="22">
        <v>167342200</v>
      </c>
      <c r="K57" s="23">
        <f>J57/I57</f>
        <v>0.95169744558527836</v>
      </c>
      <c r="L57">
        <v>493560</v>
      </c>
      <c r="M57">
        <v>20394</v>
      </c>
      <c r="N57">
        <v>100067</v>
      </c>
      <c r="O57">
        <v>15121</v>
      </c>
      <c r="P57">
        <v>2844</v>
      </c>
      <c r="Q57" s="33">
        <f>L57/(M57+N57+O57+L57+P57)</f>
        <v>0.78096666698312933</v>
      </c>
    </row>
    <row r="58" spans="1:17" ht="15" x14ac:dyDescent="0.2">
      <c r="A58" s="3"/>
      <c r="B58" s="10"/>
    </row>
    <row r="59" spans="1:17" ht="15" x14ac:dyDescent="0.25">
      <c r="A59" s="3" t="s">
        <v>30</v>
      </c>
      <c r="B59" s="10" t="s">
        <v>305</v>
      </c>
      <c r="C59" s="22">
        <v>271559408</v>
      </c>
      <c r="D59" s="22">
        <v>263451386</v>
      </c>
      <c r="E59" s="23">
        <f>D59/C59</f>
        <v>0.97014273208313961</v>
      </c>
      <c r="F59" s="22">
        <v>541661</v>
      </c>
      <c r="G59" s="22">
        <v>507744</v>
      </c>
      <c r="H59" s="23">
        <f>G59/F59</f>
        <v>0.93738334493345465</v>
      </c>
      <c r="I59" s="22">
        <v>176886395</v>
      </c>
      <c r="J59" s="22">
        <v>168281933</v>
      </c>
      <c r="K59" s="23">
        <f>J59/I59</f>
        <v>0.95135599886017241</v>
      </c>
      <c r="L59">
        <v>415352</v>
      </c>
      <c r="M59">
        <v>10073</v>
      </c>
      <c r="N59">
        <v>83061</v>
      </c>
      <c r="O59">
        <v>6951</v>
      </c>
      <c r="P59">
        <v>3116</v>
      </c>
      <c r="Q59" s="33">
        <f>L59/(M59+N59+O59+L59+P59)</f>
        <v>0.80098273464814584</v>
      </c>
    </row>
    <row r="60" spans="1:17" ht="15" x14ac:dyDescent="0.25">
      <c r="A60" s="3" t="s">
        <v>30</v>
      </c>
      <c r="B60" s="10" t="s">
        <v>304</v>
      </c>
      <c r="C60" s="22">
        <v>221557381</v>
      </c>
      <c r="D60" s="22">
        <v>216369805</v>
      </c>
      <c r="E60" s="23">
        <f t="shared" ref="E60:E62" si="14">D60/C60</f>
        <v>0.97658585790919783</v>
      </c>
      <c r="F60" s="22">
        <v>411881</v>
      </c>
      <c r="G60" s="22">
        <v>303765</v>
      </c>
      <c r="H60" s="23">
        <f t="shared" ref="H60:H62" si="15">G60/F60</f>
        <v>0.73750670703431331</v>
      </c>
      <c r="I60" s="22">
        <v>89278288</v>
      </c>
      <c r="J60" s="22">
        <v>84958092</v>
      </c>
      <c r="K60" s="23">
        <f t="shared" ref="K60:K62" si="16">J60/I60</f>
        <v>0.95160977997248331</v>
      </c>
      <c r="L60">
        <v>241589</v>
      </c>
      <c r="M60">
        <v>7088</v>
      </c>
      <c r="N60">
        <v>60311</v>
      </c>
      <c r="O60">
        <v>5555</v>
      </c>
      <c r="P60">
        <v>1182</v>
      </c>
      <c r="Q60" s="33">
        <f t="shared" ref="Q60:Q62" si="17">L60/(M60+N60+O60+L60+P60)</f>
        <v>0.76518805922875921</v>
      </c>
    </row>
    <row r="61" spans="1:17" ht="15" x14ac:dyDescent="0.25">
      <c r="A61" s="5" t="s">
        <v>206</v>
      </c>
      <c r="B61" s="10" t="s">
        <v>303</v>
      </c>
      <c r="C61" s="22">
        <v>254731794</v>
      </c>
      <c r="D61" s="22">
        <v>246471578</v>
      </c>
      <c r="E61" s="23">
        <f t="shared" si="14"/>
        <v>0.96757288962523458</v>
      </c>
      <c r="F61" s="22">
        <v>455550</v>
      </c>
      <c r="G61" s="22">
        <v>353047</v>
      </c>
      <c r="H61" s="23">
        <f t="shared" si="15"/>
        <v>0.77499067061793436</v>
      </c>
      <c r="I61" s="22">
        <v>102283026</v>
      </c>
      <c r="J61" s="22">
        <v>97334833</v>
      </c>
      <c r="K61" s="23">
        <f t="shared" si="16"/>
        <v>0.95162253999016411</v>
      </c>
      <c r="L61">
        <v>284306</v>
      </c>
      <c r="M61">
        <v>7820</v>
      </c>
      <c r="N61">
        <v>61422</v>
      </c>
      <c r="O61">
        <v>7191</v>
      </c>
      <c r="P61">
        <v>1981</v>
      </c>
      <c r="Q61" s="33">
        <f t="shared" si="17"/>
        <v>0.78381671812968678</v>
      </c>
    </row>
    <row r="62" spans="1:17" ht="15" x14ac:dyDescent="0.25">
      <c r="A62" s="3" t="s">
        <v>30</v>
      </c>
      <c r="B62" s="10" t="s">
        <v>306</v>
      </c>
      <c r="C62" s="22">
        <v>262516388</v>
      </c>
      <c r="D62" s="22">
        <v>254528649</v>
      </c>
      <c r="E62" s="23">
        <f t="shared" si="14"/>
        <v>0.96957241770369018</v>
      </c>
      <c r="F62" s="22">
        <v>532866</v>
      </c>
      <c r="G62" s="22">
        <v>495612</v>
      </c>
      <c r="H62" s="23">
        <f t="shared" si="15"/>
        <v>0.93008748916237849</v>
      </c>
      <c r="I62" s="22">
        <v>174329033</v>
      </c>
      <c r="J62" s="22">
        <v>165846685</v>
      </c>
      <c r="K62" s="23">
        <f t="shared" si="16"/>
        <v>0.95134288389014354</v>
      </c>
      <c r="L62">
        <v>400169</v>
      </c>
      <c r="M62">
        <v>8752</v>
      </c>
      <c r="N62">
        <v>93945</v>
      </c>
      <c r="O62">
        <v>6980</v>
      </c>
      <c r="P62">
        <v>2697</v>
      </c>
      <c r="Q62" s="33">
        <f t="shared" si="17"/>
        <v>0.78075205397400804</v>
      </c>
    </row>
    <row r="63" spans="1:17" ht="15" x14ac:dyDescent="0.2">
      <c r="A63" s="3"/>
      <c r="B63" s="10"/>
    </row>
    <row r="64" spans="1:17" ht="15" x14ac:dyDescent="0.25">
      <c r="A64" s="5" t="s">
        <v>236</v>
      </c>
      <c r="B64" s="10" t="s">
        <v>309</v>
      </c>
      <c r="C64" s="22">
        <v>373287874</v>
      </c>
      <c r="D64" s="22">
        <v>363161584</v>
      </c>
      <c r="E64" s="23">
        <f>D64/C64</f>
        <v>0.97287270574452145</v>
      </c>
      <c r="F64" s="22">
        <v>675088</v>
      </c>
      <c r="G64" s="22">
        <v>595426</v>
      </c>
      <c r="H64" s="23">
        <f>G64/F64</f>
        <v>0.88199760623800161</v>
      </c>
      <c r="I64" s="22">
        <v>222932240</v>
      </c>
      <c r="J64" s="22">
        <v>212067721</v>
      </c>
      <c r="K64" s="23">
        <f>J64/I64</f>
        <v>0.95126537552397084</v>
      </c>
      <c r="L64">
        <v>452911</v>
      </c>
      <c r="M64">
        <v>32911</v>
      </c>
      <c r="N64">
        <v>88063</v>
      </c>
      <c r="O64">
        <v>24720</v>
      </c>
      <c r="P64">
        <v>3841</v>
      </c>
      <c r="Q64" s="33">
        <f>L64/(M64+N64+O64+L64+P64)</f>
        <v>0.75178688214379386</v>
      </c>
    </row>
    <row r="65" spans="1:17" ht="15" x14ac:dyDescent="0.25">
      <c r="A65" s="3" t="s">
        <v>30</v>
      </c>
      <c r="B65" s="10" t="s">
        <v>310</v>
      </c>
      <c r="C65" s="22">
        <v>354571719</v>
      </c>
      <c r="D65" s="22">
        <v>344922774</v>
      </c>
      <c r="E65" s="23">
        <f>D65/C65</f>
        <v>0.97278704283801043</v>
      </c>
      <c r="F65" s="22">
        <v>643263</v>
      </c>
      <c r="G65" s="22">
        <v>563973</v>
      </c>
      <c r="H65" s="23">
        <f>G65/F65</f>
        <v>0.87673781952327434</v>
      </c>
      <c r="I65" s="22">
        <v>220405864</v>
      </c>
      <c r="J65" s="22">
        <v>209652232</v>
      </c>
      <c r="K65" s="23">
        <f>J65/I65</f>
        <v>0.9512098643618665</v>
      </c>
      <c r="L65">
        <v>433773</v>
      </c>
      <c r="M65">
        <v>20599</v>
      </c>
      <c r="N65">
        <v>86484</v>
      </c>
      <c r="O65">
        <v>27443</v>
      </c>
      <c r="P65">
        <v>4204</v>
      </c>
      <c r="Q65" s="33">
        <f>L65/(M65+N65+O65+L65+P65)</f>
        <v>0.75767812570414483</v>
      </c>
    </row>
    <row r="66" spans="1:17" ht="15" x14ac:dyDescent="0.2">
      <c r="A66" s="3"/>
      <c r="B66" s="10"/>
    </row>
    <row r="67" spans="1:17" ht="15" x14ac:dyDescent="0.25">
      <c r="A67" s="3" t="s">
        <v>30</v>
      </c>
      <c r="B67" s="10" t="s">
        <v>311</v>
      </c>
      <c r="C67" s="22">
        <v>102829099</v>
      </c>
      <c r="D67" s="22">
        <v>100035691</v>
      </c>
      <c r="E67" s="23">
        <f>D67/C67</f>
        <v>0.97283446001992102</v>
      </c>
      <c r="F67" s="22">
        <v>186465</v>
      </c>
      <c r="G67" s="22">
        <v>172097</v>
      </c>
      <c r="H67" s="23">
        <f>G67/F67</f>
        <v>0.92294532485989322</v>
      </c>
      <c r="I67" s="22">
        <v>69179415</v>
      </c>
      <c r="J67" s="22">
        <v>65801469</v>
      </c>
      <c r="K67" s="23">
        <f>J67/I67</f>
        <v>0.95117122629614603</v>
      </c>
      <c r="L67">
        <v>106673</v>
      </c>
      <c r="M67">
        <v>13167</v>
      </c>
      <c r="N67">
        <v>27633</v>
      </c>
      <c r="O67">
        <v>26327</v>
      </c>
      <c r="P67">
        <v>682</v>
      </c>
      <c r="Q67" s="33">
        <f>L67/(M67+N67+O67+L67+P67)</f>
        <v>0.61136965417636202</v>
      </c>
    </row>
    <row r="68" spans="1:17" ht="15" x14ac:dyDescent="0.25">
      <c r="A68" s="3" t="s">
        <v>30</v>
      </c>
      <c r="B68" s="10" t="s">
        <v>312</v>
      </c>
      <c r="C68" s="22">
        <v>312669755</v>
      </c>
      <c r="D68" s="22">
        <v>304039622</v>
      </c>
      <c r="E68" s="23">
        <f>D68/C68</f>
        <v>0.97239856793951818</v>
      </c>
      <c r="F68" s="22">
        <v>576114</v>
      </c>
      <c r="G68" s="22">
        <v>540018</v>
      </c>
      <c r="H68" s="23">
        <f>G68/F68</f>
        <v>0.93734573365688045</v>
      </c>
      <c r="I68" s="22">
        <v>231769720</v>
      </c>
      <c r="J68" s="22">
        <v>220433243</v>
      </c>
      <c r="K68" s="23">
        <f>J68/I68</f>
        <v>0.95108732495340631</v>
      </c>
      <c r="L68">
        <v>391898</v>
      </c>
      <c r="M68">
        <v>29606</v>
      </c>
      <c r="N68">
        <v>115849</v>
      </c>
      <c r="O68">
        <v>16657</v>
      </c>
      <c r="P68">
        <v>1313</v>
      </c>
      <c r="Q68" s="33">
        <f>L68/(M68+N68+O68+L68+P68)</f>
        <v>0.70571181096406954</v>
      </c>
    </row>
    <row r="70" spans="1:17" ht="15.75" x14ac:dyDescent="0.25">
      <c r="B70" s="32" t="s">
        <v>340</v>
      </c>
      <c r="C70" s="28">
        <v>104967977</v>
      </c>
      <c r="D70" s="28">
        <v>102174303</v>
      </c>
      <c r="E70" s="23">
        <f>D70/C70</f>
        <v>0.97338546402585235</v>
      </c>
      <c r="F70" s="22">
        <v>286685</v>
      </c>
      <c r="G70" s="22">
        <v>241194</v>
      </c>
      <c r="H70" s="23">
        <f>G70/F70</f>
        <v>0.84132061321659657</v>
      </c>
      <c r="I70" s="22">
        <v>79985029</v>
      </c>
      <c r="J70" s="22">
        <v>76099803</v>
      </c>
      <c r="K70" s="23">
        <f>J70/I70</f>
        <v>0.95142558490539519</v>
      </c>
      <c r="L70">
        <v>189319</v>
      </c>
      <c r="M70">
        <v>11250</v>
      </c>
      <c r="N70">
        <v>32210</v>
      </c>
      <c r="O70">
        <v>9514</v>
      </c>
      <c r="P70">
        <v>1431</v>
      </c>
      <c r="Q70" s="33">
        <f>L70/(M70+N70+O70+L70+P70)</f>
        <v>0.7767761894602091</v>
      </c>
    </row>
    <row r="71" spans="1:17" ht="15.75" x14ac:dyDescent="0.25">
      <c r="B71" s="32" t="s">
        <v>341</v>
      </c>
      <c r="C71" s="28">
        <v>46083578</v>
      </c>
      <c r="D71" s="28">
        <v>44841132</v>
      </c>
      <c r="E71" s="23">
        <f t="shared" ref="E71:E75" si="18">D71/C71</f>
        <v>0.97303928961418751</v>
      </c>
      <c r="F71" s="22">
        <v>125128</v>
      </c>
      <c r="G71" s="22">
        <v>109884</v>
      </c>
      <c r="H71" s="23">
        <f t="shared" ref="H71:H75" si="19">G71/F71</f>
        <v>0.87817275110287063</v>
      </c>
      <c r="I71" s="22">
        <v>35553962</v>
      </c>
      <c r="J71" s="22">
        <v>33828264</v>
      </c>
      <c r="K71" s="23">
        <f t="shared" ref="K71:K75" si="20">J71/I71</f>
        <v>0.95146256836298582</v>
      </c>
      <c r="L71">
        <v>88153</v>
      </c>
      <c r="M71">
        <v>5694</v>
      </c>
      <c r="N71">
        <v>11974</v>
      </c>
      <c r="O71">
        <v>4527</v>
      </c>
      <c r="P71">
        <v>411</v>
      </c>
      <c r="Q71" s="33">
        <f t="shared" ref="Q71:Q75" si="21">L71/(M71+N71+O71+L71+P71)</f>
        <v>0.79589920457931185</v>
      </c>
    </row>
    <row r="72" spans="1:17" ht="15.75" x14ac:dyDescent="0.25">
      <c r="B72" s="32" t="s">
        <v>342</v>
      </c>
      <c r="C72" s="28">
        <v>49415026</v>
      </c>
      <c r="D72" s="28">
        <v>47807905</v>
      </c>
      <c r="E72" s="23">
        <f t="shared" si="18"/>
        <v>0.9674770787330963</v>
      </c>
      <c r="F72" s="22">
        <v>129536</v>
      </c>
      <c r="G72" s="22">
        <v>111925</v>
      </c>
      <c r="H72" s="23">
        <f t="shared" si="19"/>
        <v>0.86404551630434778</v>
      </c>
      <c r="I72" s="22">
        <v>38477271</v>
      </c>
      <c r="J72" s="22">
        <v>36606299</v>
      </c>
      <c r="K72" s="23">
        <f t="shared" si="20"/>
        <v>0.95137461801799816</v>
      </c>
      <c r="L72">
        <v>92766</v>
      </c>
      <c r="M72">
        <v>3704</v>
      </c>
      <c r="N72">
        <v>11530</v>
      </c>
      <c r="O72">
        <v>4489</v>
      </c>
      <c r="P72">
        <v>424</v>
      </c>
      <c r="Q72" s="33">
        <f t="shared" si="21"/>
        <v>0.82157058974608765</v>
      </c>
    </row>
    <row r="73" spans="1:17" ht="15.75" x14ac:dyDescent="0.25">
      <c r="B73" s="32" t="s">
        <v>343</v>
      </c>
      <c r="C73" s="28">
        <v>50610310</v>
      </c>
      <c r="D73" s="28">
        <v>49171139</v>
      </c>
      <c r="E73" s="23">
        <f t="shared" si="18"/>
        <v>0.97156367941630861</v>
      </c>
      <c r="F73" s="22">
        <v>142419</v>
      </c>
      <c r="G73" s="22">
        <v>121548</v>
      </c>
      <c r="H73" s="23">
        <f t="shared" si="19"/>
        <v>0.85345354201335499</v>
      </c>
      <c r="I73" s="22">
        <v>38006286</v>
      </c>
      <c r="J73" s="22">
        <v>36163222</v>
      </c>
      <c r="K73" s="23">
        <f t="shared" si="20"/>
        <v>0.95150633766214354</v>
      </c>
      <c r="L73">
        <v>89527</v>
      </c>
      <c r="M73">
        <v>4912</v>
      </c>
      <c r="N73">
        <v>21922</v>
      </c>
      <c r="O73">
        <v>6436</v>
      </c>
      <c r="P73">
        <v>563</v>
      </c>
      <c r="Q73" s="33">
        <f t="shared" si="21"/>
        <v>0.72573767833981839</v>
      </c>
    </row>
    <row r="74" spans="1:17" ht="15.75" x14ac:dyDescent="0.25">
      <c r="B74" s="32" t="s">
        <v>625</v>
      </c>
      <c r="C74" s="28">
        <v>86221070</v>
      </c>
      <c r="D74" s="28">
        <v>83790780</v>
      </c>
      <c r="E74" s="23">
        <f t="shared" si="18"/>
        <v>0.9718132702366139</v>
      </c>
      <c r="F74" s="22">
        <v>240141</v>
      </c>
      <c r="G74" s="22">
        <v>206942</v>
      </c>
      <c r="H74" s="23">
        <f t="shared" si="19"/>
        <v>0.86175205400160737</v>
      </c>
      <c r="I74" s="22">
        <v>65522095</v>
      </c>
      <c r="J74" s="22">
        <v>62343963</v>
      </c>
      <c r="K74" s="23">
        <f t="shared" si="20"/>
        <v>0.95149526278120378</v>
      </c>
      <c r="L74">
        <v>159394</v>
      </c>
      <c r="M74">
        <v>9188</v>
      </c>
      <c r="N74">
        <v>29812</v>
      </c>
      <c r="O74">
        <v>9742</v>
      </c>
      <c r="P74">
        <v>826</v>
      </c>
      <c r="Q74" s="33">
        <f t="shared" si="21"/>
        <v>0.76278940668638318</v>
      </c>
    </row>
    <row r="75" spans="1:17" ht="15.75" x14ac:dyDescent="0.25">
      <c r="B75" s="32" t="s">
        <v>624</v>
      </c>
      <c r="C75" s="28">
        <v>105381561</v>
      </c>
      <c r="D75" s="28">
        <v>102417881</v>
      </c>
      <c r="E75" s="23">
        <f t="shared" si="18"/>
        <v>0.97187667394678279</v>
      </c>
      <c r="F75" s="22">
        <v>281230</v>
      </c>
      <c r="G75" s="22">
        <v>239917</v>
      </c>
      <c r="H75" s="23">
        <f t="shared" si="19"/>
        <v>0.85309888703196668</v>
      </c>
      <c r="I75" s="22">
        <v>80707151</v>
      </c>
      <c r="J75" s="22">
        <v>76785115</v>
      </c>
      <c r="K75" s="23">
        <f t="shared" si="20"/>
        <v>0.9514041079209945</v>
      </c>
      <c r="L75">
        <v>186493</v>
      </c>
      <c r="M75">
        <v>13211</v>
      </c>
      <c r="N75">
        <v>30156</v>
      </c>
      <c r="O75">
        <v>11898</v>
      </c>
      <c r="P75">
        <v>1159</v>
      </c>
      <c r="Q75" s="33">
        <f t="shared" si="21"/>
        <v>0.76772313176928741</v>
      </c>
    </row>
    <row r="76" spans="1:17" ht="15.75" thickBot="1" x14ac:dyDescent="0.3">
      <c r="C76" s="15" t="s">
        <v>331</v>
      </c>
      <c r="D76" s="16" t="s">
        <v>332</v>
      </c>
      <c r="E76" s="17" t="s">
        <v>326</v>
      </c>
      <c r="F76" s="16" t="s">
        <v>329</v>
      </c>
      <c r="G76" s="16" t="s">
        <v>330</v>
      </c>
      <c r="H76" s="18" t="s">
        <v>328</v>
      </c>
      <c r="I76" s="16" t="s">
        <v>331</v>
      </c>
      <c r="J76" s="16" t="s">
        <v>332</v>
      </c>
      <c r="K76" s="17" t="s">
        <v>326</v>
      </c>
      <c r="L76" s="19" t="s">
        <v>335</v>
      </c>
      <c r="M76" s="20" t="s">
        <v>336</v>
      </c>
      <c r="N76" s="21" t="s">
        <v>337</v>
      </c>
      <c r="O76" s="31" t="s">
        <v>338</v>
      </c>
      <c r="P76" s="31" t="s">
        <v>339</v>
      </c>
    </row>
  </sheetData>
  <sortState ref="A60:D63">
    <sortCondition ref="B60"/>
  </sortState>
  <mergeCells count="4">
    <mergeCell ref="C1:E1"/>
    <mergeCell ref="F1:H1"/>
    <mergeCell ref="I1:K1"/>
    <mergeCell ref="L1:P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.xml BioSamples</vt:lpstr>
      <vt:lpstr>In_Out - 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BioData</dc:creator>
  <cp:lastModifiedBy>Marta</cp:lastModifiedBy>
  <cp:lastPrinted>2019-01-29T11:42:03Z</cp:lastPrinted>
  <dcterms:created xsi:type="dcterms:W3CDTF">2019-01-04T10:59:53Z</dcterms:created>
  <dcterms:modified xsi:type="dcterms:W3CDTF">2019-03-27T10:36:36Z</dcterms:modified>
</cp:coreProperties>
</file>